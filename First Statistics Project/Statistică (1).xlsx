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nik\Desktop\Стели\"/>
    </mc:Choice>
  </mc:AlternateContent>
  <bookViews>
    <workbookView xWindow="0" yWindow="0" windowWidth="17256" windowHeight="5928"/>
  </bookViews>
  <sheets>
    <sheet name="Sheet1" sheetId="1" r:id="rId1"/>
    <sheet name="Sheet3" sheetId="3" r:id="rId2"/>
    <sheet name="Sheet4" sheetId="4" r:id="rId3"/>
    <sheet name="Sheet5" sheetId="5" r:id="rId4"/>
    <sheet name="Sheet6" sheetId="6" r:id="rId5"/>
    <sheet name="Sheet7" sheetId="7" r:id="rId6"/>
  </sheets>
  <definedNames>
    <definedName name="_xlnm._FilterDatabase" localSheetId="0" hidden="1">Sheet1!$A$1:$F$31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<sst xmlns="http://schemas.openxmlformats.org/spreadsheetml/2006/main" count="275" uniqueCount="89">
  <si>
    <t>Region</t>
  </si>
  <si>
    <t>No. of hospitals</t>
  </si>
  <si>
    <t>Physicians (dentists excluded)</t>
  </si>
  <si>
    <t>Family doctors</t>
  </si>
  <si>
    <t>Number of the beds from sanitary units</t>
  </si>
  <si>
    <t>Number of deaths</t>
  </si>
  <si>
    <t>Bistrita-Nasaud</t>
  </si>
  <si>
    <t>Cluj</t>
  </si>
  <si>
    <t>Maramures</t>
  </si>
  <si>
    <t>Satu Mare</t>
  </si>
  <si>
    <t>Salaj</t>
  </si>
  <si>
    <t>Alba</t>
  </si>
  <si>
    <t>Brasov</t>
  </si>
  <si>
    <t>Covasna</t>
  </si>
  <si>
    <t>Harghita</t>
  </si>
  <si>
    <t>Mures</t>
  </si>
  <si>
    <t>Sibiu</t>
  </si>
  <si>
    <t>Bacau</t>
  </si>
  <si>
    <t>Botosani</t>
  </si>
  <si>
    <t>Iasi</t>
  </si>
  <si>
    <t>Neamt</t>
  </si>
  <si>
    <t>Suceava</t>
  </si>
  <si>
    <t>Vaslui</t>
  </si>
  <si>
    <t>Braila</t>
  </si>
  <si>
    <t>Buzau</t>
  </si>
  <si>
    <t>Constanta</t>
  </si>
  <si>
    <t>Galati</t>
  </si>
  <si>
    <t>Tulcea</t>
  </si>
  <si>
    <t>Vrancea</t>
  </si>
  <si>
    <t>Arges</t>
  </si>
  <si>
    <t>Calarasi</t>
  </si>
  <si>
    <t>Dambovita</t>
  </si>
  <si>
    <t>Giurgiu</t>
  </si>
  <si>
    <t>Ialomita</t>
  </si>
  <si>
    <t>Prahova</t>
  </si>
  <si>
    <t>Teleorman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</si>
  <si>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</si>
  <si>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</si>
  <si>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</si>
  <si>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</si>
  <si>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</si>
  <si>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</si>
  <si>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</si>
  <si>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</si>
  <si>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</si>
  <si>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</si>
  <si>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</si>
  <si>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</si>
  <si>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</si>
  <si>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</si>
  <si>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More</t>
  </si>
  <si>
    <t>Frequency</t>
  </si>
  <si>
    <t>bin</t>
  </si>
  <si>
    <t>bins</t>
  </si>
  <si>
    <t>bin label</t>
  </si>
  <si>
    <t>(4-9)</t>
  </si>
  <si>
    <t>(10-15)</t>
  </si>
  <si>
    <t>(16-21)</t>
  </si>
  <si>
    <t>Sterge's rule</t>
  </si>
  <si>
    <t>(22-27)</t>
  </si>
  <si>
    <t>(28-32)</t>
  </si>
  <si>
    <t>(32-37)</t>
  </si>
  <si>
    <t>bin labels</t>
  </si>
  <si>
    <t>(313-436)</t>
  </si>
  <si>
    <t>(456-543)</t>
  </si>
  <si>
    <t>(565-630)</t>
  </si>
  <si>
    <t>(672-984)</t>
  </si>
  <si>
    <t>(1065-1561)</t>
  </si>
  <si>
    <t>(2035-5294)</t>
  </si>
  <si>
    <t>bins label</t>
  </si>
  <si>
    <t>(80-108)</t>
  </si>
  <si>
    <t>(133-141)</t>
  </si>
  <si>
    <t>(153-174)</t>
  </si>
  <si>
    <t>(193-250)</t>
  </si>
  <si>
    <t>(256-362)</t>
  </si>
  <si>
    <t>(387-542)</t>
  </si>
  <si>
    <t>c</t>
  </si>
  <si>
    <t>(831-1303)</t>
  </si>
  <si>
    <t>(1327-1913)</t>
  </si>
  <si>
    <t>(1951-2191)</t>
  </si>
  <si>
    <t>(2340-2920)</t>
  </si>
  <si>
    <t>(2965-3877)</t>
  </si>
  <si>
    <t>(4160-7575)</t>
  </si>
  <si>
    <t>(2766-3924)</t>
  </si>
  <si>
    <t>(4087-4646)</t>
  </si>
  <si>
    <t>(4836-5729)</t>
  </si>
  <si>
    <t>(5995-6981)</t>
  </si>
  <si>
    <t>(7195-8193)</t>
  </si>
  <si>
    <t>(8697-11195)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</si>
</sst>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</font>
    <font>
      <b/>
      <sz val="10"/>
      <color rgb="FF2A2A2A"/>
      <name val="Exo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u/>
      <sz val="11"/>
      <color theme="1"/>
      <name val="Verdana"/>
      <family val="2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CF1"/>
        <bgColor indexed="64"/>
      </patternFill>
    </fill>
    <fill>
      <patternFill patternType="solid">
        <fgColor rgb="FFFAFA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AFAFA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AFAFA"/>
      </left>
      <right style="medium">
        <color rgb="FF000000"/>
      </right>
      <top style="medium">
        <color rgb="FFCCCCCC"/>
      </top>
      <bottom style="medium">
        <color rgb="FFFAFAFA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4" fillId="4" borderId="4" xfId="0" applyFont="1" applyFill="1" applyBorder="1" applyAlignment="1">
      <alignment horizontal="right" wrapText="1"/>
    </xf>
    <xf numFmtId="0" fontId="5" fillId="4" borderId="4" xfId="0" applyFont="1" applyFill="1" applyBorder="1" applyAlignment="1">
      <alignment horizontal="right" wrapText="1"/>
    </xf>
    <xf numFmtId="0" fontId="0" fillId="0" borderId="0" xfId="0" applyFill="1" applyBorder="1" applyAlignment="1"/>
    <xf numFmtId="0" fontId="0" fillId="0" borderId="6" xfId="0" applyFill="1" applyBorder="1" applyAlignment="1"/>
    <xf numFmtId="0" fontId="6" fillId="0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right" wrapText="1"/>
    </xf>
    <xf numFmtId="0" fontId="0" fillId="0" borderId="0" xfId="0" applyNumberFormat="1" applyFill="1" applyBorder="1" applyAlignment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Hospitals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Sheet3!$B$18:$B$24</c:f>
              <c:strCache>
                <c:ptCount val="7"/>
                <c:pt idx="0">
                  <c:v>(4-9)</c:v>
                </c:pt>
                <c:pt idx="1">
                  <c:v>(10-15)</c:v>
                </c:pt>
                <c:pt idx="2">
                  <c:v>(16-21)</c:v>
                </c:pt>
                <c:pt idx="3">
                  <c:v>(22-27)</c:v>
                </c:pt>
                <c:pt idx="4">
                  <c:v>(28-32)</c:v>
                </c:pt>
                <c:pt idx="5">
                  <c:v>(32-37)</c:v>
                </c:pt>
                <c:pt idx="6">
                  <c:v>More</c:v>
                </c:pt>
              </c:strCache>
            </c:strRef>
          </c:cat>
          <c:val>
            <c:numRef>
              <c:f>Sheet3!$C$18:$C$24</c:f>
              <c:numCache>
                <c:formatCode>General</c:formatCode>
                <c:ptCount val="7"/>
                <c:pt idx="0">
                  <c:v>16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716136"/>
        <c:axId val="408716528"/>
      </c:barChart>
      <c:catAx>
        <c:axId val="408716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8716528"/>
        <c:crosses val="autoZero"/>
        <c:auto val="1"/>
        <c:lblAlgn val="ctr"/>
        <c:lblOffset val="100"/>
        <c:noMultiLvlLbl val="0"/>
      </c:catAx>
      <c:valAx>
        <c:axId val="408716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8716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No. of hospitals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Sheet3!$A$2:$A$31</c:f>
              <c:numCache>
                <c:formatCode>General</c:formatCode>
                <c:ptCount val="30"/>
                <c:pt idx="0">
                  <c:v>4</c:v>
                </c:pt>
                <c:pt idx="1">
                  <c:v>37</c:v>
                </c:pt>
                <c:pt idx="2">
                  <c:v>15</c:v>
                </c:pt>
                <c:pt idx="3">
                  <c:v>6</c:v>
                </c:pt>
                <c:pt idx="4">
                  <c:v>6</c:v>
                </c:pt>
                <c:pt idx="5">
                  <c:v>11</c:v>
                </c:pt>
                <c:pt idx="6">
                  <c:v>23</c:v>
                </c:pt>
                <c:pt idx="7">
                  <c:v>4</c:v>
                </c:pt>
                <c:pt idx="8">
                  <c:v>7</c:v>
                </c:pt>
                <c:pt idx="9">
                  <c:v>16</c:v>
                </c:pt>
                <c:pt idx="10">
                  <c:v>12</c:v>
                </c:pt>
                <c:pt idx="11">
                  <c:v>16</c:v>
                </c:pt>
                <c:pt idx="12">
                  <c:v>4</c:v>
                </c:pt>
                <c:pt idx="13">
                  <c:v>29</c:v>
                </c:pt>
                <c:pt idx="14">
                  <c:v>7</c:v>
                </c:pt>
                <c:pt idx="15">
                  <c:v>14</c:v>
                </c:pt>
                <c:pt idx="16">
                  <c:v>5</c:v>
                </c:pt>
                <c:pt idx="17">
                  <c:v>5</c:v>
                </c:pt>
                <c:pt idx="18">
                  <c:v>9</c:v>
                </c:pt>
                <c:pt idx="19">
                  <c:v>20</c:v>
                </c:pt>
                <c:pt idx="20">
                  <c:v>10</c:v>
                </c:pt>
                <c:pt idx="21">
                  <c:v>4</c:v>
                </c:pt>
                <c:pt idx="22">
                  <c:v>7</c:v>
                </c:pt>
                <c:pt idx="23">
                  <c:v>17</c:v>
                </c:pt>
                <c:pt idx="24">
                  <c:v>6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25</c:v>
                </c:pt>
                <c:pt idx="29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8711640"/>
        <c:axId val="408714776"/>
      </c:barChart>
      <c:catAx>
        <c:axId val="40871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14776"/>
        <c:crosses val="autoZero"/>
        <c:auto val="1"/>
        <c:lblAlgn val="ctr"/>
        <c:lblOffset val="100"/>
        <c:noMultiLvlLbl val="0"/>
      </c:catAx>
      <c:valAx>
        <c:axId val="40871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11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Physicians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Sheet4!$E$10:$E$16</c:f>
              <c:strCache>
                <c:ptCount val="7"/>
                <c:pt idx="0">
                  <c:v>(313-436)</c:v>
                </c:pt>
                <c:pt idx="1">
                  <c:v>(456-543)</c:v>
                </c:pt>
                <c:pt idx="2">
                  <c:v>(565-630)</c:v>
                </c:pt>
                <c:pt idx="3">
                  <c:v>(672-984)</c:v>
                </c:pt>
                <c:pt idx="4">
                  <c:v>(1065-1561)</c:v>
                </c:pt>
                <c:pt idx="5">
                  <c:v>(2035-5294)</c:v>
                </c:pt>
                <c:pt idx="6">
                  <c:v>More</c:v>
                </c:pt>
              </c:strCache>
            </c:strRef>
          </c:cat>
          <c:val>
            <c:numRef>
              <c:f>Sheet4!$F$10:$F$16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756600"/>
        <c:axId val="401756992"/>
      </c:barChart>
      <c:catAx>
        <c:axId val="401756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1756992"/>
        <c:crosses val="autoZero"/>
        <c:auto val="1"/>
        <c:lblAlgn val="ctr"/>
        <c:lblOffset val="100"/>
        <c:noMultiLvlLbl val="0"/>
      </c:catAx>
      <c:valAx>
        <c:axId val="401756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01756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Sheet4!$A$1</c:f>
              <c:strCache>
                <c:ptCount val="1"/>
                <c:pt idx="0">
                  <c:v>Physicians (dentists excluded)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Sheet4!$A$2:$A$31</c:f>
              <c:numCache>
                <c:formatCode>General</c:formatCode>
                <c:ptCount val="30"/>
                <c:pt idx="0">
                  <c:v>504</c:v>
                </c:pt>
                <c:pt idx="1">
                  <c:v>4383</c:v>
                </c:pt>
                <c:pt idx="2">
                  <c:v>948</c:v>
                </c:pt>
                <c:pt idx="3">
                  <c:v>630</c:v>
                </c:pt>
                <c:pt idx="4">
                  <c:v>456</c:v>
                </c:pt>
                <c:pt idx="5">
                  <c:v>672</c:v>
                </c:pt>
                <c:pt idx="6">
                  <c:v>2035</c:v>
                </c:pt>
                <c:pt idx="7">
                  <c:v>436</c:v>
                </c:pt>
                <c:pt idx="8">
                  <c:v>620</c:v>
                </c:pt>
                <c:pt idx="9">
                  <c:v>2984</c:v>
                </c:pt>
                <c:pt idx="10">
                  <c:v>1561</c:v>
                </c:pt>
                <c:pt idx="11">
                  <c:v>1065</c:v>
                </c:pt>
                <c:pt idx="12">
                  <c:v>674</c:v>
                </c:pt>
                <c:pt idx="13">
                  <c:v>5294</c:v>
                </c:pt>
                <c:pt idx="14">
                  <c:v>862</c:v>
                </c:pt>
                <c:pt idx="15">
                  <c:v>984</c:v>
                </c:pt>
                <c:pt idx="16">
                  <c:v>543</c:v>
                </c:pt>
                <c:pt idx="17">
                  <c:v>565</c:v>
                </c:pt>
                <c:pt idx="18">
                  <c:v>629</c:v>
                </c:pt>
                <c:pt idx="19">
                  <c:v>2608</c:v>
                </c:pt>
                <c:pt idx="20">
                  <c:v>1203</c:v>
                </c:pt>
                <c:pt idx="21">
                  <c:v>321</c:v>
                </c:pt>
                <c:pt idx="22">
                  <c:v>523</c:v>
                </c:pt>
                <c:pt idx="23">
                  <c:v>1538</c:v>
                </c:pt>
                <c:pt idx="24">
                  <c:v>347</c:v>
                </c:pt>
                <c:pt idx="25">
                  <c:v>604</c:v>
                </c:pt>
                <c:pt idx="26">
                  <c:v>313</c:v>
                </c:pt>
                <c:pt idx="27">
                  <c:v>360</c:v>
                </c:pt>
                <c:pt idx="28">
                  <c:v>1197</c:v>
                </c:pt>
                <c:pt idx="29">
                  <c:v>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380080"/>
        <c:axId val="486380864"/>
      </c:barChart>
      <c:catAx>
        <c:axId val="48638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80864"/>
        <c:crosses val="autoZero"/>
        <c:auto val="1"/>
        <c:lblAlgn val="ctr"/>
        <c:lblOffset val="100"/>
        <c:noMultiLvlLbl val="0"/>
      </c:catAx>
      <c:valAx>
        <c:axId val="48638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8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Family</a:t>
            </a:r>
            <a:r>
              <a:rPr lang="en-US" baseline="0"/>
              <a:t> doctors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Sheet5!$B$20:$B$26</c:f>
              <c:strCache>
                <c:ptCount val="7"/>
                <c:pt idx="0">
                  <c:v>(80-108)</c:v>
                </c:pt>
                <c:pt idx="1">
                  <c:v>(133-141)</c:v>
                </c:pt>
                <c:pt idx="2">
                  <c:v>(153-174)</c:v>
                </c:pt>
                <c:pt idx="3">
                  <c:v>(193-250)</c:v>
                </c:pt>
                <c:pt idx="4">
                  <c:v>(256-362)</c:v>
                </c:pt>
                <c:pt idx="5">
                  <c:v>(387-542)</c:v>
                </c:pt>
                <c:pt idx="6">
                  <c:v>More</c:v>
                </c:pt>
              </c:strCache>
            </c:strRef>
          </c:cat>
          <c:val>
            <c:numRef>
              <c:f>Sheet5!$C$20:$C$26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237960"/>
        <c:axId val="397232864"/>
      </c:barChart>
      <c:catAx>
        <c:axId val="397237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7232864"/>
        <c:crosses val="autoZero"/>
        <c:auto val="1"/>
        <c:lblAlgn val="ctr"/>
        <c:lblOffset val="100"/>
        <c:noMultiLvlLbl val="0"/>
      </c:catAx>
      <c:valAx>
        <c:axId val="397232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7237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Sheet5!$A$1</c:f>
              <c:strCache>
                <c:ptCount val="1"/>
                <c:pt idx="0">
                  <c:v>Family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Sheet5!$A$2:$A$31</c:f>
              <c:numCache>
                <c:formatCode>General</c:formatCode>
                <c:ptCount val="30"/>
                <c:pt idx="0">
                  <c:v>133</c:v>
                </c:pt>
                <c:pt idx="1">
                  <c:v>491</c:v>
                </c:pt>
                <c:pt idx="2">
                  <c:v>244</c:v>
                </c:pt>
                <c:pt idx="3">
                  <c:v>174</c:v>
                </c:pt>
                <c:pt idx="4">
                  <c:v>108</c:v>
                </c:pt>
                <c:pt idx="5">
                  <c:v>166</c:v>
                </c:pt>
                <c:pt idx="6">
                  <c:v>400</c:v>
                </c:pt>
                <c:pt idx="7">
                  <c:v>91</c:v>
                </c:pt>
                <c:pt idx="8">
                  <c:v>162</c:v>
                </c:pt>
                <c:pt idx="9">
                  <c:v>387</c:v>
                </c:pt>
                <c:pt idx="10">
                  <c:v>317</c:v>
                </c:pt>
                <c:pt idx="11">
                  <c:v>250</c:v>
                </c:pt>
                <c:pt idx="12">
                  <c:v>153</c:v>
                </c:pt>
                <c:pt idx="13">
                  <c:v>542</c:v>
                </c:pt>
                <c:pt idx="14">
                  <c:v>238</c:v>
                </c:pt>
                <c:pt idx="15">
                  <c:v>256</c:v>
                </c:pt>
                <c:pt idx="16">
                  <c:v>141</c:v>
                </c:pt>
                <c:pt idx="17">
                  <c:v>137</c:v>
                </c:pt>
                <c:pt idx="18">
                  <c:v>193</c:v>
                </c:pt>
                <c:pt idx="19">
                  <c:v>441</c:v>
                </c:pt>
                <c:pt idx="20">
                  <c:v>297</c:v>
                </c:pt>
                <c:pt idx="21">
                  <c:v>80</c:v>
                </c:pt>
                <c:pt idx="22">
                  <c:v>141</c:v>
                </c:pt>
                <c:pt idx="23">
                  <c:v>335</c:v>
                </c:pt>
                <c:pt idx="24">
                  <c:v>108</c:v>
                </c:pt>
                <c:pt idx="25">
                  <c:v>211</c:v>
                </c:pt>
                <c:pt idx="26">
                  <c:v>102</c:v>
                </c:pt>
                <c:pt idx="27">
                  <c:v>106</c:v>
                </c:pt>
                <c:pt idx="28">
                  <c:v>362</c:v>
                </c:pt>
                <c:pt idx="29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559808"/>
        <c:axId val="486560200"/>
      </c:barChart>
      <c:catAx>
        <c:axId val="48655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60200"/>
        <c:crosses val="autoZero"/>
        <c:auto val="1"/>
        <c:lblAlgn val="ctr"/>
        <c:lblOffset val="100"/>
        <c:noMultiLvlLbl val="0"/>
      </c:catAx>
      <c:valAx>
        <c:axId val="486560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5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No. of bed from sanitary units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Sheet6!$B$18:$B$24</c:f>
              <c:strCache>
                <c:ptCount val="7"/>
                <c:pt idx="0">
                  <c:v>(831-1303)</c:v>
                </c:pt>
                <c:pt idx="1">
                  <c:v>(1327-1913)</c:v>
                </c:pt>
                <c:pt idx="2">
                  <c:v>(1951-2191)</c:v>
                </c:pt>
                <c:pt idx="3">
                  <c:v>(2340-2920)</c:v>
                </c:pt>
                <c:pt idx="4">
                  <c:v>(2965-3877)</c:v>
                </c:pt>
                <c:pt idx="5">
                  <c:v>(4160-7575)</c:v>
                </c:pt>
                <c:pt idx="6">
                  <c:v>More</c:v>
                </c:pt>
              </c:strCache>
            </c:strRef>
          </c:cat>
          <c:val>
            <c:numRef>
              <c:f>Sheet6!$C$18:$C$24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233256"/>
        <c:axId val="397234040"/>
      </c:barChart>
      <c:catAx>
        <c:axId val="397233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7234040"/>
        <c:crosses val="autoZero"/>
        <c:auto val="1"/>
        <c:lblAlgn val="ctr"/>
        <c:lblOffset val="100"/>
        <c:noMultiLvlLbl val="0"/>
      </c:catAx>
      <c:valAx>
        <c:axId val="397234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97233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Number of the beds from sanitary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Sheet6!$A$2:$A$31</c:f>
              <c:numCache>
                <c:formatCode>General</c:formatCode>
                <c:ptCount val="30"/>
                <c:pt idx="0">
                  <c:v>1520</c:v>
                </c:pt>
                <c:pt idx="1">
                  <c:v>7142</c:v>
                </c:pt>
                <c:pt idx="2">
                  <c:v>2920</c:v>
                </c:pt>
                <c:pt idx="3">
                  <c:v>1804</c:v>
                </c:pt>
                <c:pt idx="4">
                  <c:v>1303</c:v>
                </c:pt>
                <c:pt idx="5">
                  <c:v>2087</c:v>
                </c:pt>
                <c:pt idx="6">
                  <c:v>3877</c:v>
                </c:pt>
                <c:pt idx="7">
                  <c:v>1810</c:v>
                </c:pt>
                <c:pt idx="8">
                  <c:v>1966</c:v>
                </c:pt>
                <c:pt idx="9">
                  <c:v>4160</c:v>
                </c:pt>
                <c:pt idx="10">
                  <c:v>2814</c:v>
                </c:pt>
                <c:pt idx="11">
                  <c:v>3391</c:v>
                </c:pt>
                <c:pt idx="12">
                  <c:v>2191</c:v>
                </c:pt>
                <c:pt idx="13">
                  <c:v>7575</c:v>
                </c:pt>
                <c:pt idx="14">
                  <c:v>2340</c:v>
                </c:pt>
                <c:pt idx="15">
                  <c:v>3091</c:v>
                </c:pt>
                <c:pt idx="16">
                  <c:v>1951</c:v>
                </c:pt>
                <c:pt idx="17">
                  <c:v>1952</c:v>
                </c:pt>
                <c:pt idx="18">
                  <c:v>2581</c:v>
                </c:pt>
                <c:pt idx="19">
                  <c:v>4485</c:v>
                </c:pt>
                <c:pt idx="20">
                  <c:v>2965</c:v>
                </c:pt>
                <c:pt idx="21">
                  <c:v>831</c:v>
                </c:pt>
                <c:pt idx="22">
                  <c:v>1327</c:v>
                </c:pt>
                <c:pt idx="23">
                  <c:v>3619</c:v>
                </c:pt>
                <c:pt idx="24">
                  <c:v>1211</c:v>
                </c:pt>
                <c:pt idx="25">
                  <c:v>2357</c:v>
                </c:pt>
                <c:pt idx="26">
                  <c:v>831</c:v>
                </c:pt>
                <c:pt idx="27">
                  <c:v>859</c:v>
                </c:pt>
                <c:pt idx="28">
                  <c:v>4415</c:v>
                </c:pt>
                <c:pt idx="29">
                  <c:v>1913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237176"/>
        <c:axId val="397238352"/>
      </c:barChart>
      <c:catAx>
        <c:axId val="397237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38352"/>
        <c:crosses val="autoZero"/>
        <c:auto val="1"/>
        <c:lblAlgn val="ctr"/>
        <c:lblOffset val="100"/>
        <c:noMultiLvlLbl val="0"/>
      </c:catAx>
      <c:valAx>
        <c:axId val="39723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3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No.</a:t>
            </a:r>
            <a:r>
              <a:rPr lang="en-US" baseline="0"/>
              <a:t> of deaths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Sheet7!$D$4:$D$10</c:f>
              <c:strCache>
                <c:ptCount val="7"/>
                <c:pt idx="0">
                  <c:v>(2766-3924)</c:v>
                </c:pt>
                <c:pt idx="1">
                  <c:v>(4087-4646)</c:v>
                </c:pt>
                <c:pt idx="2">
                  <c:v>(4836-5729)</c:v>
                </c:pt>
                <c:pt idx="3">
                  <c:v>(5995-6981)</c:v>
                </c:pt>
                <c:pt idx="4">
                  <c:v>(7195-8193)</c:v>
                </c:pt>
                <c:pt idx="5">
                  <c:v>(8697-11195)</c:v>
                </c:pt>
                <c:pt idx="6">
                  <c:v>More</c:v>
                </c:pt>
              </c:strCache>
            </c:strRef>
          </c:cat>
          <c:val>
            <c:numRef>
              <c:f>Sheet7!$E$4:$E$10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64512"/>
        <c:axId val="486567256"/>
      </c:barChart>
      <c:catAx>
        <c:axId val="48656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6567256"/>
        <c:crosses val="autoZero"/>
        <c:auto val="1"/>
        <c:lblAlgn val="ctr"/>
        <c:lblOffset val="100"/>
        <c:noMultiLvlLbl val="0"/>
      </c:catAx>
      <c:valAx>
        <c:axId val="486567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86564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Sheet7!$A$1</c:f>
              <c:strCache>
                <c:ptCount val="1"/>
                <c:pt idx="0">
                  <c:v>Number of deaths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Sheet7!$A$2:$A$31</c:f>
              <c:numCache>
                <c:formatCode>General</c:formatCode>
                <c:ptCount val="30"/>
                <c:pt idx="0">
                  <c:v>3500</c:v>
                </c:pt>
                <c:pt idx="1">
                  <c:v>8697</c:v>
                </c:pt>
                <c:pt idx="2">
                  <c:v>5995</c:v>
                </c:pt>
                <c:pt idx="3">
                  <c:v>4485</c:v>
                </c:pt>
                <c:pt idx="4">
                  <c:v>3161</c:v>
                </c:pt>
                <c:pt idx="5">
                  <c:v>4646</c:v>
                </c:pt>
                <c:pt idx="6">
                  <c:v>6981</c:v>
                </c:pt>
                <c:pt idx="7">
                  <c:v>2756</c:v>
                </c:pt>
                <c:pt idx="8">
                  <c:v>3924</c:v>
                </c:pt>
                <c:pt idx="9">
                  <c:v>7686</c:v>
                </c:pt>
                <c:pt idx="10">
                  <c:v>4836</c:v>
                </c:pt>
                <c:pt idx="11">
                  <c:v>9129</c:v>
                </c:pt>
                <c:pt idx="12">
                  <c:v>5729</c:v>
                </c:pt>
                <c:pt idx="13">
                  <c:v>9282</c:v>
                </c:pt>
                <c:pt idx="14">
                  <c:v>7195</c:v>
                </c:pt>
                <c:pt idx="15">
                  <c:v>8053</c:v>
                </c:pt>
                <c:pt idx="16">
                  <c:v>5577</c:v>
                </c:pt>
                <c:pt idx="17">
                  <c:v>5189</c:v>
                </c:pt>
                <c:pt idx="18">
                  <c:v>6977</c:v>
                </c:pt>
                <c:pt idx="19">
                  <c:v>9203</c:v>
                </c:pt>
                <c:pt idx="20">
                  <c:v>7431</c:v>
                </c:pt>
                <c:pt idx="21">
                  <c:v>3160</c:v>
                </c:pt>
                <c:pt idx="22">
                  <c:v>4842</c:v>
                </c:pt>
                <c:pt idx="23">
                  <c:v>8193</c:v>
                </c:pt>
                <c:pt idx="24">
                  <c:v>4623</c:v>
                </c:pt>
                <c:pt idx="25">
                  <c:v>6873</c:v>
                </c:pt>
                <c:pt idx="26">
                  <c:v>4418</c:v>
                </c:pt>
                <c:pt idx="27">
                  <c:v>4087</c:v>
                </c:pt>
                <c:pt idx="28">
                  <c:v>11195</c:v>
                </c:pt>
                <c:pt idx="29">
                  <c:v>6286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1758952"/>
        <c:axId val="401759736"/>
      </c:barChart>
      <c:catAx>
        <c:axId val="401758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59736"/>
        <c:crosses val="autoZero"/>
        <c:auto val="1"/>
        <c:lblAlgn val="ctr"/>
        <c:lblOffset val="100"/>
        <c:noMultiLvlLbl val="0"/>
      </c:catAx>
      <c:valAx>
        <c:axId val="40175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58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86958</xdr:colOff>
      <xdr:row>23</xdr:row>
      <xdr:rowOff>51995</xdr:rowOff>
    </xdr:from>
    <xdr:to>
      <xdr:col>8</xdr:col>
      <xdr:colOff>86958</xdr:colOff>
      <xdr:row>33</xdr:row>
      <xdr:rowOff>69926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179294</xdr:colOff>
      <xdr:row>7</xdr:row>
      <xdr:rowOff>125506</xdr:rowOff>
    </xdr:from>
    <xdr:to>
      <xdr:col>10</xdr:col>
      <xdr:colOff>484094</xdr:colOff>
      <xdr:row>22</xdr:row>
      <xdr:rowOff>44823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16</xdr:row>
      <xdr:rowOff>167640</xdr:rowOff>
    </xdr:from>
    <xdr:to>
      <xdr:col>5</xdr:col>
      <xdr:colOff>320040</xdr:colOff>
      <xdr:row>26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179294</xdr:colOff>
      <xdr:row>1</xdr:row>
      <xdr:rowOff>179293</xdr:rowOff>
    </xdr:from>
    <xdr:to>
      <xdr:col>13</xdr:col>
      <xdr:colOff>484094</xdr:colOff>
      <xdr:row>16</xdr:row>
      <xdr:rowOff>98611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356795</xdr:colOff>
      <xdr:row>0</xdr:row>
      <xdr:rowOff>204396</xdr:rowOff>
    </xdr:from>
    <xdr:to>
      <xdr:col>11</xdr:col>
      <xdr:colOff>356795</xdr:colOff>
      <xdr:row>10</xdr:row>
      <xdr:rowOff>43031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493058</xdr:colOff>
      <xdr:row>13</xdr:row>
      <xdr:rowOff>26895</xdr:rowOff>
    </xdr:from>
    <xdr:to>
      <xdr:col>11</xdr:col>
      <xdr:colOff>188258</xdr:colOff>
      <xdr:row>27</xdr:row>
      <xdr:rowOff>134471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305889</xdr:colOff>
      <xdr:row>24</xdr:row>
      <xdr:rowOff>182880</xdr:rowOff>
    </xdr:from>
    <xdr:to>
      <xdr:col>4</xdr:col>
      <xdr:colOff>292826</xdr:colOff>
      <xdr:row>35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239485</xdr:colOff>
      <xdr:row>8</xdr:row>
      <xdr:rowOff>10887</xdr:rowOff>
    </xdr:from>
    <xdr:to>
      <xdr:col>13</xdr:col>
      <xdr:colOff>32657</xdr:colOff>
      <xdr:row>23</xdr:row>
      <xdr:rowOff>141515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</xdr:colOff>
      <xdr:row>15</xdr:row>
      <xdr:rowOff>21516</xdr:rowOff>
    </xdr:from>
    <xdr:to>
      <xdr:col>9</xdr:col>
      <xdr:colOff>205740</xdr:colOff>
      <xdr:row>25</xdr:row>
      <xdr:rowOff>21515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582705</xdr:colOff>
      <xdr:row>0</xdr:row>
      <xdr:rowOff>26895</xdr:rowOff>
    </xdr:from>
    <xdr:to>
      <xdr:col>13</xdr:col>
      <xdr:colOff>277905</xdr:colOff>
      <xdr:row>12</xdr:row>
      <xdr:rowOff>179295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workbookViewId="0">
      <selection activeCell="G20" sqref="G20"/>
    </sheetView>
  </sheetViews>
  <sheetFormatPr defaultRowHeight="14.4"/>
  <cols>
    <col min="1" max="1" width="19.6640625" customWidth="1"/>
    <col min="2" max="2" width="10" customWidth="1"/>
    <col min="3" max="3" width="19.44140625" customWidth="1"/>
    <col min="5" max="5" width="15.109375" customWidth="1"/>
    <col min="7" max="7" width="16.88671875" customWidth="1"/>
    <col min="8" max="8" width="13.44140625" bestFit="1" customWidth="1"/>
    <col min="9" max="9" width="17.21875" customWidth="1"/>
    <col min="10" max="10" width="11" customWidth="1"/>
    <col min="11" max="11" width="17.44140625" customWidth="1"/>
    <col min="13" max="13" width="16.44140625" customWidth="1"/>
    <col min="15" max="15" width="18.77734375" customWidth="1"/>
  </cols>
  <sheetData>
    <row r="1" spans="1:16" ht="30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3" t="s">
        <v>58</v>
      </c>
      <c r="H1">
        <f>LOG(30,2)+1</f>
        <v>5.9068905956085187</v>
      </c>
    </row>
    <row r="2" spans="1:16" ht="18.600000000000001" customHeight="1" thickBot="1">
      <c r="A2" s="5" t="s">
        <v>6</v>
      </c>
      <c r="B2" s="6">
        <v>4</v>
      </c>
      <c r="C2" s="6">
        <v>504</v>
      </c>
      <c r="D2" s="6">
        <v>133</v>
      </c>
      <c r="E2" s="6">
        <v>1520</v>
      </c>
      <c r="F2" s="7">
        <v>3500</v>
      </c>
      <c r="G2" t="s">
        <v>53</v>
      </c>
      <c r="H2" s="11">
        <v>6</v>
      </c>
    </row>
    <row r="3" spans="1:16" ht="15" thickBot="1">
      <c r="A3" s="5" t="s">
        <v>7</v>
      </c>
      <c r="B3" s="6">
        <v>37</v>
      </c>
      <c r="C3" s="6">
        <v>4383</v>
      </c>
      <c r="D3" s="6">
        <v>491</v>
      </c>
      <c r="E3" s="6">
        <v>7142</v>
      </c>
      <c r="F3" s="7">
        <v>8697</v>
      </c>
      <c r="G3" s="10" t="s">
        <v>1</v>
      </c>
      <c r="H3" s="10"/>
      <c r="I3" s="10" t="s">
        <v>2</v>
      </c>
      <c r="J3" s="10"/>
      <c r="K3" s="10" t="s">
        <v>3</v>
      </c>
      <c r="L3" s="10"/>
      <c r="M3" s="10" t="s">
        <v>4</v>
      </c>
      <c r="N3" s="10"/>
      <c r="O3" s="10" t="s">
        <v>5</v>
      </c>
      <c r="P3" s="10"/>
    </row>
    <row r="4" spans="1:16" ht="18" customHeight="1" thickBot="1">
      <c r="A4" s="5" t="s">
        <v>8</v>
      </c>
      <c r="B4" s="6">
        <v>15</v>
      </c>
      <c r="C4" s="6">
        <v>948</v>
      </c>
      <c r="D4" s="6">
        <v>244</v>
      </c>
      <c r="E4" s="6">
        <v>2920</v>
      </c>
      <c r="F4" s="7">
        <v>5995</v>
      </c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5" thickBot="1">
      <c r="A5" s="5" t="s">
        <v>9</v>
      </c>
      <c r="B5" s="6">
        <v>6</v>
      </c>
      <c r="C5" s="6">
        <v>630</v>
      </c>
      <c r="D5" s="6">
        <v>174</v>
      </c>
      <c r="E5" s="6">
        <v>1804</v>
      </c>
      <c r="F5" s="7">
        <v>4485</v>
      </c>
      <c r="G5" s="8" t="s">
        <v>36</v>
      </c>
      <c r="H5" s="8">
        <v>11.266666666666667</v>
      </c>
      <c r="I5" s="8" t="s">
        <v>36</v>
      </c>
      <c r="J5" s="8">
        <v>1178</v>
      </c>
      <c r="K5" s="8" t="s">
        <v>36</v>
      </c>
      <c r="L5" s="8">
        <v>230.63333333333333</v>
      </c>
      <c r="M5" s="8" t="s">
        <v>36</v>
      </c>
      <c r="N5" s="8">
        <v>2709.6</v>
      </c>
      <c r="O5" s="8" t="s">
        <v>36</v>
      </c>
      <c r="P5" s="8">
        <v>6136.9666666666662</v>
      </c>
    </row>
    <row r="6" spans="1:16" ht="15" thickBot="1">
      <c r="A6" s="5" t="s">
        <v>10</v>
      </c>
      <c r="B6" s="6">
        <v>6</v>
      </c>
      <c r="C6" s="6">
        <v>456</v>
      </c>
      <c r="D6" s="6">
        <v>108</v>
      </c>
      <c r="E6" s="6">
        <v>1303</v>
      </c>
      <c r="F6" s="7">
        <v>3161</v>
      </c>
      <c r="G6" s="8" t="s">
        <v>37</v>
      </c>
      <c r="H6" s="8">
        <v>1.5498856712253752</v>
      </c>
      <c r="I6" s="8" t="s">
        <v>37</v>
      </c>
      <c r="J6" s="8">
        <v>218.53695865654069</v>
      </c>
      <c r="K6" s="8" t="s">
        <v>37</v>
      </c>
      <c r="L6" s="8">
        <v>23.194801405930086</v>
      </c>
      <c r="M6" s="8" t="s">
        <v>37</v>
      </c>
      <c r="N6" s="8">
        <v>298.14910872662813</v>
      </c>
      <c r="O6" s="8" t="s">
        <v>37</v>
      </c>
      <c r="P6" s="8">
        <v>394.8307348182106</v>
      </c>
    </row>
    <row r="7" spans="1:16" ht="15" thickBot="1">
      <c r="A7" s="5" t="s">
        <v>11</v>
      </c>
      <c r="B7" s="6">
        <v>11</v>
      </c>
      <c r="C7" s="6">
        <v>672</v>
      </c>
      <c r="D7" s="6">
        <v>166</v>
      </c>
      <c r="E7" s="6">
        <v>2087</v>
      </c>
      <c r="F7" s="7">
        <v>4646</v>
      </c>
      <c r="G7" s="8" t="s">
        <v>38</v>
      </c>
      <c r="H7" s="8">
        <v>7</v>
      </c>
      <c r="I7" s="8" t="s">
        <v>38</v>
      </c>
      <c r="J7" s="8">
        <v>651</v>
      </c>
      <c r="K7" s="8" t="s">
        <v>38</v>
      </c>
      <c r="L7" s="8">
        <v>183.5</v>
      </c>
      <c r="M7" s="8" t="s">
        <v>38</v>
      </c>
      <c r="N7" s="8">
        <v>2265.5</v>
      </c>
      <c r="O7" s="8" t="s">
        <v>38</v>
      </c>
      <c r="P7" s="8">
        <v>5862</v>
      </c>
    </row>
    <row r="8" spans="1:16" ht="17.399999999999999" customHeight="1" thickBot="1">
      <c r="A8" s="5" t="s">
        <v>12</v>
      </c>
      <c r="B8" s="6">
        <v>23</v>
      </c>
      <c r="C8" s="6">
        <v>2035</v>
      </c>
      <c r="D8" s="6">
        <v>400</v>
      </c>
      <c r="E8" s="6">
        <v>3877</v>
      </c>
      <c r="F8" s="7">
        <v>6981</v>
      </c>
      <c r="G8" s="8" t="s">
        <v>39</v>
      </c>
      <c r="H8" s="8">
        <v>4</v>
      </c>
      <c r="I8" s="8" t="s">
        <v>39</v>
      </c>
      <c r="J8" s="8" t="e">
        <v>#N/A</v>
      </c>
      <c r="K8" s="8" t="s">
        <v>39</v>
      </c>
      <c r="L8" s="8">
        <v>108</v>
      </c>
      <c r="M8" s="8" t="s">
        <v>39</v>
      </c>
      <c r="N8" s="8">
        <v>831</v>
      </c>
      <c r="O8" s="8" t="s">
        <v>39</v>
      </c>
      <c r="P8" s="8" t="e">
        <v>#N/A</v>
      </c>
    </row>
    <row r="9" spans="1:16" ht="13.8" customHeight="1" thickBot="1">
      <c r="A9" s="5" t="s">
        <v>13</v>
      </c>
      <c r="B9" s="6">
        <v>4</v>
      </c>
      <c r="C9" s="6">
        <v>436</v>
      </c>
      <c r="D9" s="6">
        <v>91</v>
      </c>
      <c r="E9" s="6">
        <v>1810</v>
      </c>
      <c r="F9" s="7">
        <v>2756</v>
      </c>
      <c r="G9" s="8" t="s">
        <v>40</v>
      </c>
      <c r="H9" s="8">
        <v>8.4890734368417355</v>
      </c>
      <c r="I9" s="8" t="s">
        <v>40</v>
      </c>
      <c r="J9" s="8">
        <v>1196.9762190476122</v>
      </c>
      <c r="K9" s="8" t="s">
        <v>40</v>
      </c>
      <c r="L9" s="8">
        <v>127.04315946880449</v>
      </c>
      <c r="M9" s="8" t="s">
        <v>40</v>
      </c>
      <c r="N9" s="8">
        <v>1633.0299234963461</v>
      </c>
      <c r="O9" s="8" t="s">
        <v>40</v>
      </c>
      <c r="P9" s="8">
        <v>2162.5769985627435</v>
      </c>
    </row>
    <row r="10" spans="1:16" ht="15.6" customHeight="1" thickBot="1">
      <c r="A10" s="5" t="s">
        <v>14</v>
      </c>
      <c r="B10" s="6">
        <v>7</v>
      </c>
      <c r="C10" s="6">
        <v>620</v>
      </c>
      <c r="D10" s="6">
        <v>162</v>
      </c>
      <c r="E10" s="6">
        <v>1966</v>
      </c>
      <c r="F10" s="7">
        <v>3924</v>
      </c>
      <c r="G10" s="8" t="s">
        <v>41</v>
      </c>
      <c r="H10" s="8">
        <v>72.064367816091959</v>
      </c>
      <c r="I10" s="8" t="s">
        <v>41</v>
      </c>
      <c r="J10" s="8">
        <v>1432752.0689655172</v>
      </c>
      <c r="K10" s="8" t="s">
        <v>41</v>
      </c>
      <c r="L10" s="8">
        <v>16139.964367816088</v>
      </c>
      <c r="M10" s="8" t="s">
        <v>41</v>
      </c>
      <c r="N10" s="8">
        <v>2666786.7310344824</v>
      </c>
      <c r="O10" s="8" t="s">
        <v>41</v>
      </c>
      <c r="P10" s="8">
        <v>4676739.2747126445</v>
      </c>
    </row>
    <row r="11" spans="1:16" ht="15" thickBot="1">
      <c r="A11" s="5" t="s">
        <v>15</v>
      </c>
      <c r="B11" s="6">
        <v>16</v>
      </c>
      <c r="C11" s="6">
        <v>2984</v>
      </c>
      <c r="D11" s="6">
        <v>387</v>
      </c>
      <c r="E11" s="6">
        <v>4160</v>
      </c>
      <c r="F11" s="7">
        <v>7686</v>
      </c>
      <c r="G11" s="8" t="s">
        <v>42</v>
      </c>
      <c r="H11" s="8">
        <v>1.7787924522351797</v>
      </c>
      <c r="I11" s="8" t="s">
        <v>42</v>
      </c>
      <c r="J11" s="8">
        <v>5.1760861584744582</v>
      </c>
      <c r="K11" s="8" t="s">
        <v>42</v>
      </c>
      <c r="L11" s="8">
        <v>-5.6117050050583206E-2</v>
      </c>
      <c r="M11" s="8" t="s">
        <v>42</v>
      </c>
      <c r="N11" s="8">
        <v>2.7833573053216729</v>
      </c>
      <c r="O11" s="8" t="s">
        <v>42</v>
      </c>
      <c r="P11" s="8">
        <v>-0.58928328276277542</v>
      </c>
    </row>
    <row r="12" spans="1:16" ht="15" thickBot="1">
      <c r="A12" s="5" t="s">
        <v>16</v>
      </c>
      <c r="B12" s="6">
        <v>12</v>
      </c>
      <c r="C12" s="6">
        <v>1561</v>
      </c>
      <c r="D12" s="6">
        <v>317</v>
      </c>
      <c r="E12" s="6">
        <v>2814</v>
      </c>
      <c r="F12" s="7">
        <v>4836</v>
      </c>
      <c r="G12" s="8" t="s">
        <v>43</v>
      </c>
      <c r="H12" s="8">
        <v>1.4507252157350712</v>
      </c>
      <c r="I12" s="8" t="s">
        <v>43</v>
      </c>
      <c r="J12" s="8">
        <v>2.2965403871134482</v>
      </c>
      <c r="K12" s="8" t="s">
        <v>43</v>
      </c>
      <c r="L12" s="8">
        <v>0.9250232379157054</v>
      </c>
      <c r="M12" s="8" t="s">
        <v>43</v>
      </c>
      <c r="N12" s="8">
        <v>1.5677345958071072</v>
      </c>
      <c r="O12" s="8" t="s">
        <v>43</v>
      </c>
      <c r="P12" s="8">
        <v>0.38819805770861054</v>
      </c>
    </row>
    <row r="13" spans="1:16" ht="15" thickBot="1">
      <c r="A13" s="5" t="s">
        <v>17</v>
      </c>
      <c r="B13" s="6">
        <v>16</v>
      </c>
      <c r="C13" s="6">
        <v>1065</v>
      </c>
      <c r="D13" s="6">
        <v>250</v>
      </c>
      <c r="E13" s="6">
        <v>3391</v>
      </c>
      <c r="F13" s="7">
        <v>9129</v>
      </c>
      <c r="G13" s="8" t="s">
        <v>44</v>
      </c>
      <c r="H13" s="8">
        <v>33</v>
      </c>
      <c r="I13" s="8" t="s">
        <v>44</v>
      </c>
      <c r="J13" s="8">
        <v>4981</v>
      </c>
      <c r="K13" s="8" t="s">
        <v>44</v>
      </c>
      <c r="L13" s="8">
        <v>462</v>
      </c>
      <c r="M13" s="8" t="s">
        <v>44</v>
      </c>
      <c r="N13" s="8">
        <v>6744</v>
      </c>
      <c r="O13" s="8" t="s">
        <v>44</v>
      </c>
      <c r="P13" s="8">
        <v>8439</v>
      </c>
    </row>
    <row r="14" spans="1:16" ht="17.399999999999999" customHeight="1" thickBot="1">
      <c r="A14" s="5" t="s">
        <v>18</v>
      </c>
      <c r="B14" s="6">
        <v>4</v>
      </c>
      <c r="C14" s="6">
        <v>674</v>
      </c>
      <c r="D14" s="6">
        <v>153</v>
      </c>
      <c r="E14" s="6">
        <v>2191</v>
      </c>
      <c r="F14" s="7">
        <v>5729</v>
      </c>
      <c r="G14" s="8" t="s">
        <v>45</v>
      </c>
      <c r="H14" s="8">
        <v>4</v>
      </c>
      <c r="I14" s="8" t="s">
        <v>45</v>
      </c>
      <c r="J14" s="8">
        <v>313</v>
      </c>
      <c r="K14" s="8" t="s">
        <v>45</v>
      </c>
      <c r="L14" s="8">
        <v>80</v>
      </c>
      <c r="M14" s="8" t="s">
        <v>45</v>
      </c>
      <c r="N14" s="8">
        <v>831</v>
      </c>
      <c r="O14" s="8" t="s">
        <v>45</v>
      </c>
      <c r="P14" s="8">
        <v>2756</v>
      </c>
    </row>
    <row r="15" spans="1:16" ht="15" thickBot="1">
      <c r="A15" s="5" t="s">
        <v>19</v>
      </c>
      <c r="B15" s="6">
        <v>29</v>
      </c>
      <c r="C15" s="6">
        <v>5294</v>
      </c>
      <c r="D15" s="6">
        <v>542</v>
      </c>
      <c r="E15" s="6">
        <v>7575</v>
      </c>
      <c r="F15" s="7">
        <v>9282</v>
      </c>
      <c r="G15" s="8" t="s">
        <v>46</v>
      </c>
      <c r="H15" s="8">
        <v>37</v>
      </c>
      <c r="I15" s="8" t="s">
        <v>46</v>
      </c>
      <c r="J15" s="8">
        <v>5294</v>
      </c>
      <c r="K15" s="8" t="s">
        <v>46</v>
      </c>
      <c r="L15" s="8">
        <v>542</v>
      </c>
      <c r="M15" s="8" t="s">
        <v>46</v>
      </c>
      <c r="N15" s="8">
        <v>7575</v>
      </c>
      <c r="O15" s="8" t="s">
        <v>46</v>
      </c>
      <c r="P15" s="8">
        <v>11195</v>
      </c>
    </row>
    <row r="16" spans="1:16" ht="15" thickBot="1">
      <c r="A16" s="5" t="s">
        <v>20</v>
      </c>
      <c r="B16" s="6">
        <v>7</v>
      </c>
      <c r="C16" s="6">
        <v>862</v>
      </c>
      <c r="D16" s="6">
        <v>238</v>
      </c>
      <c r="E16" s="6">
        <v>2340</v>
      </c>
      <c r="F16" s="7">
        <v>7195</v>
      </c>
      <c r="G16" s="8" t="s">
        <v>47</v>
      </c>
      <c r="H16" s="8">
        <v>338</v>
      </c>
      <c r="I16" s="8" t="s">
        <v>47</v>
      </c>
      <c r="J16" s="8">
        <v>35340</v>
      </c>
      <c r="K16" s="8" t="s">
        <v>47</v>
      </c>
      <c r="L16" s="8">
        <v>6919</v>
      </c>
      <c r="M16" s="8" t="s">
        <v>47</v>
      </c>
      <c r="N16" s="8">
        <v>81288</v>
      </c>
      <c r="O16" s="8" t="s">
        <v>47</v>
      </c>
      <c r="P16" s="8">
        <v>184109</v>
      </c>
    </row>
    <row r="17" spans="1:16" ht="15" customHeight="1" thickBot="1">
      <c r="A17" s="5" t="s">
        <v>21</v>
      </c>
      <c r="B17" s="6">
        <v>14</v>
      </c>
      <c r="C17" s="6">
        <v>984</v>
      </c>
      <c r="D17" s="6">
        <v>256</v>
      </c>
      <c r="E17" s="6">
        <v>3091</v>
      </c>
      <c r="F17" s="7">
        <v>8053</v>
      </c>
      <c r="G17" s="9" t="s">
        <v>48</v>
      </c>
      <c r="H17" s="9">
        <v>30</v>
      </c>
      <c r="I17" s="9" t="s">
        <v>48</v>
      </c>
      <c r="J17" s="9">
        <v>30</v>
      </c>
      <c r="K17" s="9" t="s">
        <v>48</v>
      </c>
      <c r="L17" s="9">
        <v>30</v>
      </c>
      <c r="M17" s="9" t="s">
        <v>48</v>
      </c>
      <c r="N17" s="9">
        <v>30</v>
      </c>
      <c r="O17" s="9" t="s">
        <v>48</v>
      </c>
      <c r="P17" s="9">
        <v>30</v>
      </c>
    </row>
    <row r="18" spans="1:16" ht="15" thickBot="1">
      <c r="A18" s="5" t="s">
        <v>22</v>
      </c>
      <c r="B18" s="6">
        <v>5</v>
      </c>
      <c r="C18" s="6">
        <v>543</v>
      </c>
      <c r="D18" s="6">
        <v>141</v>
      </c>
      <c r="E18" s="6">
        <v>1951</v>
      </c>
      <c r="F18" s="7">
        <v>5577</v>
      </c>
    </row>
    <row r="19" spans="1:16" ht="15" thickBot="1">
      <c r="A19" s="5" t="s">
        <v>23</v>
      </c>
      <c r="B19" s="6">
        <v>5</v>
      </c>
      <c r="C19" s="6">
        <v>565</v>
      </c>
      <c r="D19" s="6">
        <v>137</v>
      </c>
      <c r="E19" s="6">
        <v>1952</v>
      </c>
      <c r="F19" s="7">
        <v>5189</v>
      </c>
    </row>
    <row r="20" spans="1:16" ht="15" thickBot="1">
      <c r="A20" s="5" t="s">
        <v>24</v>
      </c>
      <c r="B20" s="6">
        <v>9</v>
      </c>
      <c r="C20" s="6">
        <v>629</v>
      </c>
      <c r="D20" s="6">
        <v>193</v>
      </c>
      <c r="E20" s="6">
        <v>2581</v>
      </c>
      <c r="F20" s="7">
        <v>6977</v>
      </c>
    </row>
    <row r="21" spans="1:16" ht="13.2" customHeight="1" thickBot="1">
      <c r="A21" s="5" t="s">
        <v>25</v>
      </c>
      <c r="B21" s="6">
        <v>20</v>
      </c>
      <c r="C21" s="6">
        <v>2608</v>
      </c>
      <c r="D21" s="6">
        <v>441</v>
      </c>
      <c r="E21" s="6">
        <v>4485</v>
      </c>
      <c r="F21" s="7">
        <v>9203</v>
      </c>
    </row>
    <row r="22" spans="1:16" ht="15" thickBot="1">
      <c r="A22" s="5" t="s">
        <v>26</v>
      </c>
      <c r="B22" s="6">
        <v>10</v>
      </c>
      <c r="C22" s="6">
        <v>1203</v>
      </c>
      <c r="D22" s="6">
        <v>297</v>
      </c>
      <c r="E22" s="6">
        <v>2965</v>
      </c>
      <c r="F22" s="7">
        <v>7431</v>
      </c>
    </row>
    <row r="23" spans="1:16" ht="15" thickBot="1">
      <c r="A23" s="5" t="s">
        <v>27</v>
      </c>
      <c r="B23" s="6">
        <v>4</v>
      </c>
      <c r="C23" s="6">
        <v>321</v>
      </c>
      <c r="D23" s="6">
        <v>80</v>
      </c>
      <c r="E23" s="6">
        <v>831</v>
      </c>
      <c r="F23" s="7">
        <v>3160</v>
      </c>
    </row>
    <row r="24" spans="1:16" ht="16.2" customHeight="1" thickBot="1">
      <c r="A24" s="5" t="s">
        <v>28</v>
      </c>
      <c r="B24" s="6">
        <v>7</v>
      </c>
      <c r="C24" s="6">
        <v>523</v>
      </c>
      <c r="D24" s="6">
        <v>141</v>
      </c>
      <c r="E24" s="6">
        <v>1327</v>
      </c>
      <c r="F24" s="7">
        <v>4842</v>
      </c>
    </row>
    <row r="25" spans="1:16" ht="15" thickBot="1">
      <c r="A25" s="5" t="s">
        <v>29</v>
      </c>
      <c r="B25" s="6">
        <v>17</v>
      </c>
      <c r="C25" s="6">
        <v>1538</v>
      </c>
      <c r="D25" s="6">
        <v>335</v>
      </c>
      <c r="E25" s="6">
        <v>3619</v>
      </c>
      <c r="F25" s="7">
        <v>8193</v>
      </c>
    </row>
    <row r="26" spans="1:16" ht="19.2" customHeight="1" thickBot="1">
      <c r="A26" s="5" t="s">
        <v>30</v>
      </c>
      <c r="B26" s="6">
        <v>6</v>
      </c>
      <c r="C26" s="6">
        <v>347</v>
      </c>
      <c r="D26" s="6">
        <v>108</v>
      </c>
      <c r="E26" s="6">
        <v>1211</v>
      </c>
      <c r="F26" s="7">
        <v>4623</v>
      </c>
    </row>
    <row r="27" spans="1:16" ht="18" customHeight="1" thickBot="1">
      <c r="A27" s="5" t="s">
        <v>31</v>
      </c>
      <c r="B27" s="6">
        <v>4</v>
      </c>
      <c r="C27" s="6">
        <v>604</v>
      </c>
      <c r="D27" s="6">
        <v>211</v>
      </c>
      <c r="E27" s="6">
        <v>2357</v>
      </c>
      <c r="F27" s="7">
        <v>6873</v>
      </c>
    </row>
    <row r="28" spans="1:16" ht="13.2" customHeight="1" thickBot="1">
      <c r="A28" s="5" t="s">
        <v>32</v>
      </c>
      <c r="B28" s="6">
        <v>4</v>
      </c>
      <c r="C28" s="6">
        <v>313</v>
      </c>
      <c r="D28" s="6">
        <v>102</v>
      </c>
      <c r="E28" s="6">
        <v>831</v>
      </c>
      <c r="F28" s="7">
        <v>4418</v>
      </c>
    </row>
    <row r="29" spans="1:16" ht="16.8" customHeight="1" thickBot="1">
      <c r="A29" s="5" t="s">
        <v>33</v>
      </c>
      <c r="B29" s="6">
        <v>4</v>
      </c>
      <c r="C29" s="6">
        <v>360</v>
      </c>
      <c r="D29" s="6">
        <v>106</v>
      </c>
      <c r="E29" s="6">
        <v>859</v>
      </c>
      <c r="F29" s="7">
        <v>4087</v>
      </c>
    </row>
    <row r="30" spans="1:16" ht="19.2" customHeight="1" thickBot="1">
      <c r="A30" s="5" t="s">
        <v>34</v>
      </c>
      <c r="B30" s="6">
        <v>25</v>
      </c>
      <c r="C30" s="6">
        <v>1197</v>
      </c>
      <c r="D30" s="6">
        <v>362</v>
      </c>
      <c r="E30" s="6">
        <v>4415</v>
      </c>
      <c r="F30" s="7">
        <v>11195</v>
      </c>
    </row>
    <row r="31" spans="1:16" ht="18" customHeight="1" thickBot="1">
      <c r="A31" s="5" t="s">
        <v>35</v>
      </c>
      <c r="B31" s="6">
        <v>7</v>
      </c>
      <c r="C31" s="6">
        <v>481</v>
      </c>
      <c r="D31" s="6">
        <v>153</v>
      </c>
      <c r="E31" s="6">
        <v>1913</v>
      </c>
      <c r="F31" s="7">
        <v>6286</v>
      </c>
    </row>
    <row r="32" spans="1:16" ht="28.8" customHeight="1"/>
    <row r="35" ht="16.8" customHeight="1"/>
    <row r="39" ht="14.4" customHeight="1"/>
    <row r="40" ht="19.2" customHeight="1"/>
  </sheetData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zoomScale="85" zoomScaleNormal="85" workbookViewId="0">
      <selection sqref="A1:A31"/>
    </sheetView>
  </sheetViews>
  <sheetFormatPr defaultRowHeight="14.4"/>
  <cols>
    <col min="2" max="2" width="18.44140625" customWidth="1"/>
  </cols>
  <sheetData>
    <row r="1" spans="1:5" ht="27.6" thickBot="1">
      <c r="A1" s="2" t="s">
        <v>1</v>
      </c>
      <c r="B1" s="10" t="s">
        <v>1</v>
      </c>
      <c r="C1" s="10"/>
      <c r="D1" t="s">
        <v>53</v>
      </c>
      <c r="E1" t="s">
        <v>54</v>
      </c>
    </row>
    <row r="2" spans="1:5" ht="15" thickBot="1">
      <c r="A2" s="6">
        <v>4</v>
      </c>
      <c r="B2" s="8"/>
      <c r="C2" s="8"/>
      <c r="D2">
        <v>9</v>
      </c>
      <c r="E2" t="s">
        <v>55</v>
      </c>
    </row>
    <row r="3" spans="1:5" ht="15" thickBot="1">
      <c r="A3" s="6">
        <v>37</v>
      </c>
      <c r="B3" s="8" t="s">
        <v>36</v>
      </c>
      <c r="C3" s="8">
        <v>11.266666666666667</v>
      </c>
      <c r="D3">
        <v>15</v>
      </c>
      <c r="E3" t="s">
        <v>56</v>
      </c>
    </row>
    <row r="4" spans="1:5" ht="15" thickBot="1">
      <c r="A4" s="6">
        <v>15</v>
      </c>
      <c r="B4" s="8" t="s">
        <v>37</v>
      </c>
      <c r="C4" s="8">
        <v>1.5498856712253752</v>
      </c>
      <c r="D4">
        <v>21</v>
      </c>
      <c r="E4" t="s">
        <v>57</v>
      </c>
    </row>
    <row r="5" spans="1:5" ht="15" thickBot="1">
      <c r="A5" s="6">
        <v>6</v>
      </c>
      <c r="B5" s="8" t="s">
        <v>38</v>
      </c>
      <c r="C5" s="8">
        <v>7</v>
      </c>
      <c r="D5">
        <v>27</v>
      </c>
      <c r="E5" t="s">
        <v>59</v>
      </c>
    </row>
    <row r="6" spans="1:5" ht="15" thickBot="1">
      <c r="A6" s="6">
        <v>6</v>
      </c>
      <c r="B6" s="8" t="s">
        <v>39</v>
      </c>
      <c r="C6" s="8">
        <v>4</v>
      </c>
      <c r="D6">
        <v>32</v>
      </c>
      <c r="E6" t="s">
        <v>60</v>
      </c>
    </row>
    <row r="7" spans="1:5" ht="15" thickBot="1">
      <c r="A7" s="6">
        <v>11</v>
      </c>
      <c r="B7" s="8" t="s">
        <v>40</v>
      </c>
      <c r="C7" s="8">
        <v>8.4890734368417355</v>
      </c>
      <c r="D7">
        <v>37</v>
      </c>
      <c r="E7" t="s">
        <v>61</v>
      </c>
    </row>
    <row r="8" spans="1:5" ht="15" thickBot="1">
      <c r="A8" s="6">
        <v>23</v>
      </c>
      <c r="B8" s="8" t="s">
        <v>41</v>
      </c>
      <c r="C8" s="8">
        <v>72.064367816091959</v>
      </c>
    </row>
    <row r="9" spans="1:5" ht="15" thickBot="1">
      <c r="A9" s="6">
        <v>4</v>
      </c>
      <c r="B9" s="8" t="s">
        <v>42</v>
      </c>
      <c r="C9" s="8">
        <v>1.7787924522351797</v>
      </c>
    </row>
    <row r="10" spans="1:5" ht="15" thickBot="1">
      <c r="A10" s="6">
        <v>7</v>
      </c>
      <c r="B10" s="8" t="s">
        <v>43</v>
      </c>
      <c r="C10" s="8">
        <v>1.4507252157350712</v>
      </c>
    </row>
    <row r="11" spans="1:5" ht="15" thickBot="1">
      <c r="A11" s="6">
        <v>16</v>
      </c>
      <c r="B11" s="8" t="s">
        <v>44</v>
      </c>
      <c r="C11" s="8">
        <v>33</v>
      </c>
    </row>
    <row r="12" spans="1:5" ht="15" thickBot="1">
      <c r="A12" s="6">
        <v>12</v>
      </c>
      <c r="B12" s="8" t="s">
        <v>45</v>
      </c>
      <c r="C12" s="8">
        <v>4</v>
      </c>
    </row>
    <row r="13" spans="1:5" ht="15" thickBot="1">
      <c r="A13" s="6">
        <v>16</v>
      </c>
      <c r="B13" s="8" t="s">
        <v>46</v>
      </c>
      <c r="C13" s="8">
        <v>37</v>
      </c>
    </row>
    <row r="14" spans="1:5" ht="15" thickBot="1">
      <c r="A14" s="6">
        <v>4</v>
      </c>
      <c r="B14" s="8" t="s">
        <v>47</v>
      </c>
      <c r="C14" s="8">
        <v>338</v>
      </c>
    </row>
    <row r="15" spans="1:5" ht="15" thickBot="1">
      <c r="A15" s="6">
        <v>29</v>
      </c>
      <c r="B15" s="9" t="s">
        <v>48</v>
      </c>
      <c r="C15" s="9">
        <v>30</v>
      </c>
    </row>
    <row r="16" spans="1:5" ht="15" thickBot="1">
      <c r="A16" s="6">
        <v>7</v>
      </c>
    </row>
    <row r="17" spans="1:3" ht="15" thickBot="1">
      <c r="A17" s="6">
        <v>14</v>
      </c>
      <c r="B17" s="10" t="s">
        <v>49</v>
      </c>
      <c r="C17" s="10" t="s">
        <v>51</v>
      </c>
    </row>
    <row r="18" spans="1:3" ht="15" thickBot="1">
      <c r="A18" s="6">
        <v>5</v>
      </c>
      <c r="B18" s="12" t="s">
        <v>55</v>
      </c>
      <c r="C18" s="8">
        <v>16</v>
      </c>
    </row>
    <row r="19" spans="1:3" ht="15" thickBot="1">
      <c r="A19" s="6">
        <v>5</v>
      </c>
      <c r="B19" t="s">
        <v>56</v>
      </c>
      <c r="C19" s="8">
        <v>5</v>
      </c>
    </row>
    <row r="20" spans="1:3" ht="15" thickBot="1">
      <c r="A20" s="6">
        <v>9</v>
      </c>
      <c r="B20" t="s">
        <v>57</v>
      </c>
      <c r="C20" s="8">
        <v>4</v>
      </c>
    </row>
    <row r="21" spans="1:3" ht="15" thickBot="1">
      <c r="A21" s="6">
        <v>20</v>
      </c>
      <c r="B21" t="s">
        <v>59</v>
      </c>
      <c r="C21" s="8">
        <v>2</v>
      </c>
    </row>
    <row r="22" spans="1:3" ht="15" thickBot="1">
      <c r="A22" s="6">
        <v>10</v>
      </c>
      <c r="B22" t="s">
        <v>60</v>
      </c>
      <c r="C22" s="8">
        <v>1</v>
      </c>
    </row>
    <row r="23" spans="1:3" ht="15" thickBot="1">
      <c r="A23" s="6">
        <v>4</v>
      </c>
      <c r="B23" t="s">
        <v>61</v>
      </c>
      <c r="C23" s="8">
        <v>1</v>
      </c>
    </row>
    <row r="24" spans="1:3" ht="15" thickBot="1">
      <c r="A24" s="6">
        <v>7</v>
      </c>
      <c r="B24" s="9" t="s">
        <v>50</v>
      </c>
      <c r="C24" s="9">
        <v>0</v>
      </c>
    </row>
    <row r="25" spans="1:3" ht="15" thickBot="1">
      <c r="A25" s="6">
        <v>17</v>
      </c>
    </row>
    <row r="26" spans="1:3" ht="15" thickBot="1">
      <c r="A26" s="6">
        <v>6</v>
      </c>
    </row>
    <row r="27" spans="1:3" ht="15" thickBot="1">
      <c r="A27" s="6">
        <v>4</v>
      </c>
    </row>
    <row r="28" spans="1:3" ht="15" thickBot="1">
      <c r="A28" s="6">
        <v>4</v>
      </c>
    </row>
    <row r="29" spans="1:3" ht="15" thickBot="1">
      <c r="A29" s="6">
        <v>4</v>
      </c>
    </row>
    <row r="30" spans="1:3" ht="15" thickBot="1">
      <c r="A30" s="6">
        <v>25</v>
      </c>
    </row>
    <row r="31" spans="1:3" ht="15" thickBot="1">
      <c r="A31" s="6">
        <v>7</v>
      </c>
    </row>
  </sheetData>
  <sortState ref="B18:B23">
    <sortCondition ref="B1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" zoomScale="85" zoomScaleNormal="85" workbookViewId="0">
      <selection sqref="A1:A31"/>
    </sheetView>
  </sheetViews>
  <sheetFormatPr defaultRowHeight="14.4"/>
  <cols>
    <col min="1" max="1" width="15.77734375" customWidth="1"/>
    <col min="2" max="2" width="24.88671875" customWidth="1"/>
  </cols>
  <sheetData>
    <row r="1" spans="1:6" ht="40.799999999999997" thickBot="1">
      <c r="A1" s="2" t="s">
        <v>2</v>
      </c>
      <c r="B1" s="10" t="s">
        <v>2</v>
      </c>
      <c r="C1" s="10"/>
      <c r="D1" t="s">
        <v>52</v>
      </c>
      <c r="E1" t="s">
        <v>62</v>
      </c>
    </row>
    <row r="2" spans="1:6" ht="15" thickBot="1">
      <c r="A2" s="6">
        <v>504</v>
      </c>
      <c r="B2" s="8"/>
      <c r="C2" s="8"/>
      <c r="D2">
        <v>436</v>
      </c>
      <c r="E2" t="s">
        <v>63</v>
      </c>
    </row>
    <row r="3" spans="1:6" ht="15" thickBot="1">
      <c r="A3" s="6">
        <v>4383</v>
      </c>
      <c r="B3" s="8" t="s">
        <v>36</v>
      </c>
      <c r="C3" s="8">
        <v>1178</v>
      </c>
      <c r="D3">
        <v>543</v>
      </c>
      <c r="E3" t="s">
        <v>64</v>
      </c>
    </row>
    <row r="4" spans="1:6" ht="15" thickBot="1">
      <c r="A4" s="6">
        <v>948</v>
      </c>
      <c r="B4" s="8" t="s">
        <v>37</v>
      </c>
      <c r="C4" s="8">
        <v>218.53695865654069</v>
      </c>
      <c r="D4">
        <v>630</v>
      </c>
      <c r="E4" t="s">
        <v>65</v>
      </c>
    </row>
    <row r="5" spans="1:6" ht="15" thickBot="1">
      <c r="A5" s="6">
        <v>630</v>
      </c>
      <c r="B5" s="8" t="s">
        <v>38</v>
      </c>
      <c r="C5" s="8">
        <v>651</v>
      </c>
      <c r="D5">
        <v>984</v>
      </c>
      <c r="E5" t="s">
        <v>66</v>
      </c>
    </row>
    <row r="6" spans="1:6" ht="15" thickBot="1">
      <c r="A6" s="6">
        <v>456</v>
      </c>
      <c r="B6" s="8" t="s">
        <v>39</v>
      </c>
      <c r="C6" s="8" t="e">
        <v>#N/A</v>
      </c>
      <c r="D6">
        <v>1561</v>
      </c>
      <c r="E6" t="s">
        <v>67</v>
      </c>
    </row>
    <row r="7" spans="1:6" ht="15" thickBot="1">
      <c r="A7" s="6">
        <v>672</v>
      </c>
      <c r="B7" s="8" t="s">
        <v>40</v>
      </c>
      <c r="C7" s="8">
        <v>1196.9762190476122</v>
      </c>
      <c r="D7">
        <v>5294</v>
      </c>
      <c r="E7" t="s">
        <v>68</v>
      </c>
    </row>
    <row r="8" spans="1:6" ht="15" thickBot="1">
      <c r="A8" s="6">
        <v>2035</v>
      </c>
      <c r="B8" s="8" t="s">
        <v>41</v>
      </c>
      <c r="C8" s="8">
        <v>1432752.0689655172</v>
      </c>
    </row>
    <row r="9" spans="1:6" ht="15" thickBot="1">
      <c r="A9" s="6">
        <v>436</v>
      </c>
      <c r="B9" s="8" t="s">
        <v>42</v>
      </c>
      <c r="C9" s="8">
        <v>5.1760861584744582</v>
      </c>
      <c r="E9" t="s">
        <v>62</v>
      </c>
      <c r="F9" s="10" t="s">
        <v>51</v>
      </c>
    </row>
    <row r="10" spans="1:6" ht="15" thickBot="1">
      <c r="A10" s="6">
        <v>620</v>
      </c>
      <c r="B10" s="8" t="s">
        <v>43</v>
      </c>
      <c r="C10" s="8">
        <v>2.2965403871134482</v>
      </c>
      <c r="E10" t="s">
        <v>63</v>
      </c>
      <c r="F10" s="8">
        <v>5</v>
      </c>
    </row>
    <row r="11" spans="1:6" ht="15" thickBot="1">
      <c r="A11" s="6">
        <v>2984</v>
      </c>
      <c r="B11" s="8" t="s">
        <v>44</v>
      </c>
      <c r="C11" s="8">
        <v>4981</v>
      </c>
      <c r="E11" t="s">
        <v>64</v>
      </c>
      <c r="F11" s="8">
        <v>5</v>
      </c>
    </row>
    <row r="12" spans="1:6" ht="15" thickBot="1">
      <c r="A12" s="6">
        <v>1561</v>
      </c>
      <c r="B12" s="8" t="s">
        <v>45</v>
      </c>
      <c r="C12" s="8">
        <v>313</v>
      </c>
      <c r="E12" t="s">
        <v>65</v>
      </c>
      <c r="F12" s="8">
        <v>5</v>
      </c>
    </row>
    <row r="13" spans="1:6" ht="15" thickBot="1">
      <c r="A13" s="6">
        <v>1065</v>
      </c>
      <c r="B13" s="8" t="s">
        <v>46</v>
      </c>
      <c r="C13" s="8">
        <v>5294</v>
      </c>
      <c r="E13" t="s">
        <v>66</v>
      </c>
      <c r="F13" s="8">
        <v>5</v>
      </c>
    </row>
    <row r="14" spans="1:6" ht="15" thickBot="1">
      <c r="A14" s="6">
        <v>674</v>
      </c>
      <c r="B14" s="8" t="s">
        <v>47</v>
      </c>
      <c r="C14" s="8">
        <v>35340</v>
      </c>
      <c r="E14" t="s">
        <v>67</v>
      </c>
      <c r="F14" s="8">
        <v>5</v>
      </c>
    </row>
    <row r="15" spans="1:6" ht="15" thickBot="1">
      <c r="A15" s="6">
        <v>5294</v>
      </c>
      <c r="B15" s="9" t="s">
        <v>48</v>
      </c>
      <c r="C15" s="9">
        <v>30</v>
      </c>
      <c r="E15" t="s">
        <v>68</v>
      </c>
      <c r="F15" s="8">
        <v>5</v>
      </c>
    </row>
    <row r="16" spans="1:6" ht="15" thickBot="1">
      <c r="A16" s="6">
        <v>862</v>
      </c>
      <c r="E16" s="9" t="s">
        <v>50</v>
      </c>
      <c r="F16" s="9">
        <v>0</v>
      </c>
    </row>
    <row r="17" spans="1:1" ht="15" thickBot="1">
      <c r="A17" s="6">
        <v>984</v>
      </c>
    </row>
    <row r="18" spans="1:1" ht="15" thickBot="1">
      <c r="A18" s="6">
        <v>543</v>
      </c>
    </row>
    <row r="19" spans="1:1" ht="15" thickBot="1">
      <c r="A19" s="6">
        <v>565</v>
      </c>
    </row>
    <row r="20" spans="1:1" ht="15" thickBot="1">
      <c r="A20" s="6">
        <v>629</v>
      </c>
    </row>
    <row r="21" spans="1:1" ht="15" thickBot="1">
      <c r="A21" s="6">
        <v>2608</v>
      </c>
    </row>
    <row r="22" spans="1:1" ht="15" thickBot="1">
      <c r="A22" s="6">
        <v>1203</v>
      </c>
    </row>
    <row r="23" spans="1:1" ht="15" thickBot="1">
      <c r="A23" s="6">
        <v>321</v>
      </c>
    </row>
    <row r="24" spans="1:1" ht="15" thickBot="1">
      <c r="A24" s="6">
        <v>523</v>
      </c>
    </row>
    <row r="25" spans="1:1" ht="15" thickBot="1">
      <c r="A25" s="6">
        <v>1538</v>
      </c>
    </row>
    <row r="26" spans="1:1" ht="15" thickBot="1">
      <c r="A26" s="6">
        <v>347</v>
      </c>
    </row>
    <row r="27" spans="1:1" ht="15" thickBot="1">
      <c r="A27" s="6">
        <v>604</v>
      </c>
    </row>
    <row r="28" spans="1:1" ht="15" thickBot="1">
      <c r="A28" s="6">
        <v>313</v>
      </c>
    </row>
    <row r="29" spans="1:1" ht="15" thickBot="1">
      <c r="A29" s="6">
        <v>360</v>
      </c>
    </row>
    <row r="30" spans="1:1" ht="15" thickBot="1">
      <c r="A30" s="6">
        <v>1197</v>
      </c>
    </row>
    <row r="31" spans="1:1" ht="15" thickBot="1">
      <c r="A31" s="6">
        <v>481</v>
      </c>
    </row>
  </sheetData>
  <sortState ref="E10:E15">
    <sortCondition ref="E1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zoomScale="85" zoomScaleNormal="85" workbookViewId="0">
      <selection sqref="A1:A31"/>
    </sheetView>
  </sheetViews>
  <sheetFormatPr defaultRowHeight="14.4"/>
  <cols>
    <col min="2" max="2" width="17.5546875" customWidth="1"/>
  </cols>
  <sheetData>
    <row r="1" spans="1:7" ht="27.6" thickBot="1">
      <c r="A1" s="2" t="s">
        <v>3</v>
      </c>
      <c r="B1" s="10" t="s">
        <v>3</v>
      </c>
      <c r="C1" s="10"/>
      <c r="D1" t="s">
        <v>52</v>
      </c>
      <c r="E1" t="s">
        <v>69</v>
      </c>
    </row>
    <row r="2" spans="1:7" ht="15" thickBot="1">
      <c r="A2" s="6">
        <v>133</v>
      </c>
      <c r="B2" s="8"/>
      <c r="C2" s="8"/>
      <c r="D2">
        <v>108</v>
      </c>
      <c r="E2" t="s">
        <v>70</v>
      </c>
    </row>
    <row r="3" spans="1:7" ht="15" thickBot="1">
      <c r="A3" s="6">
        <v>491</v>
      </c>
      <c r="B3" s="8" t="s">
        <v>36</v>
      </c>
      <c r="C3" s="8">
        <v>230.63333333333333</v>
      </c>
      <c r="D3">
        <v>141</v>
      </c>
      <c r="E3" t="s">
        <v>71</v>
      </c>
    </row>
    <row r="4" spans="1:7" ht="15" thickBot="1">
      <c r="A4" s="6">
        <v>244</v>
      </c>
      <c r="B4" s="8" t="s">
        <v>37</v>
      </c>
      <c r="C4" s="8">
        <v>23.194801405930086</v>
      </c>
      <c r="D4">
        <v>174</v>
      </c>
      <c r="E4" t="s">
        <v>72</v>
      </c>
    </row>
    <row r="5" spans="1:7" ht="15" thickBot="1">
      <c r="A5" s="6">
        <v>174</v>
      </c>
      <c r="B5" s="8" t="s">
        <v>38</v>
      </c>
      <c r="C5" s="8">
        <v>183.5</v>
      </c>
      <c r="D5">
        <v>250</v>
      </c>
      <c r="E5" t="s">
        <v>73</v>
      </c>
      <c r="G5" t="s">
        <v>76</v>
      </c>
    </row>
    <row r="6" spans="1:7" ht="15" thickBot="1">
      <c r="A6" s="6">
        <v>108</v>
      </c>
      <c r="B6" s="8" t="s">
        <v>39</v>
      </c>
      <c r="C6" s="8">
        <v>108</v>
      </c>
      <c r="D6">
        <v>362</v>
      </c>
      <c r="E6" t="s">
        <v>74</v>
      </c>
      <c r="G6" t="s">
        <v>70</v>
      </c>
    </row>
    <row r="7" spans="1:7" ht="15" thickBot="1">
      <c r="A7" s="6">
        <v>166</v>
      </c>
      <c r="B7" s="8" t="s">
        <v>40</v>
      </c>
      <c r="C7" s="8">
        <v>127.04315946880449</v>
      </c>
      <c r="D7">
        <v>542</v>
      </c>
      <c r="E7" t="s">
        <v>75</v>
      </c>
      <c r="G7" t="s">
        <v>71</v>
      </c>
    </row>
    <row r="8" spans="1:7" ht="15" thickBot="1">
      <c r="A8" s="6">
        <v>400</v>
      </c>
      <c r="B8" s="8" t="s">
        <v>41</v>
      </c>
      <c r="C8" s="8">
        <v>16139.964367816088</v>
      </c>
      <c r="G8" t="s">
        <v>72</v>
      </c>
    </row>
    <row r="9" spans="1:7" ht="15" thickBot="1">
      <c r="A9" s="6">
        <v>91</v>
      </c>
      <c r="B9" s="8" t="s">
        <v>42</v>
      </c>
      <c r="C9" s="8">
        <v>-5.6117050050583206E-2</v>
      </c>
      <c r="G9" t="s">
        <v>73</v>
      </c>
    </row>
    <row r="10" spans="1:7" ht="15" thickBot="1">
      <c r="A10" s="6">
        <v>162</v>
      </c>
      <c r="B10" s="8" t="s">
        <v>43</v>
      </c>
      <c r="C10" s="8">
        <v>0.9250232379157054</v>
      </c>
      <c r="G10" t="s">
        <v>74</v>
      </c>
    </row>
    <row r="11" spans="1:7" ht="15" thickBot="1">
      <c r="A11" s="6">
        <v>387</v>
      </c>
      <c r="B11" s="8" t="s">
        <v>44</v>
      </c>
      <c r="C11" s="8">
        <v>462</v>
      </c>
      <c r="G11" t="s">
        <v>75</v>
      </c>
    </row>
    <row r="12" spans="1:7" ht="15" thickBot="1">
      <c r="A12" s="6">
        <v>317</v>
      </c>
      <c r="B12" s="8" t="s">
        <v>45</v>
      </c>
      <c r="C12" s="8">
        <v>80</v>
      </c>
    </row>
    <row r="13" spans="1:7" ht="15" thickBot="1">
      <c r="A13" s="6">
        <v>250</v>
      </c>
      <c r="B13" s="8" t="s">
        <v>46</v>
      </c>
      <c r="C13" s="8">
        <v>542</v>
      </c>
    </row>
    <row r="14" spans="1:7" ht="15" thickBot="1">
      <c r="A14" s="6">
        <v>153</v>
      </c>
      <c r="B14" s="8" t="s">
        <v>47</v>
      </c>
      <c r="C14" s="8">
        <v>6919</v>
      </c>
    </row>
    <row r="15" spans="1:7" ht="15" thickBot="1">
      <c r="A15" s="6">
        <v>542</v>
      </c>
      <c r="B15" s="9" t="s">
        <v>48</v>
      </c>
      <c r="C15" s="9">
        <v>30</v>
      </c>
    </row>
    <row r="16" spans="1:7" ht="15" thickBot="1">
      <c r="A16" s="6">
        <v>238</v>
      </c>
    </row>
    <row r="17" spans="1:3" ht="15" thickBot="1">
      <c r="A17" s="6">
        <v>256</v>
      </c>
    </row>
    <row r="18" spans="1:3" ht="15" thickBot="1">
      <c r="A18" s="6">
        <v>141</v>
      </c>
    </row>
    <row r="19" spans="1:3" ht="15" thickBot="1">
      <c r="A19" s="6">
        <v>137</v>
      </c>
      <c r="B19" t="s">
        <v>69</v>
      </c>
      <c r="C19" s="10" t="s">
        <v>51</v>
      </c>
    </row>
    <row r="20" spans="1:3" ht="15" thickBot="1">
      <c r="A20" s="6">
        <v>193</v>
      </c>
      <c r="B20" t="s">
        <v>70</v>
      </c>
      <c r="C20" s="8">
        <v>4</v>
      </c>
    </row>
    <row r="21" spans="1:3" ht="15" thickBot="1">
      <c r="A21" s="6">
        <v>441</v>
      </c>
      <c r="B21" t="s">
        <v>71</v>
      </c>
      <c r="C21" s="8">
        <v>1</v>
      </c>
    </row>
    <row r="22" spans="1:3" ht="15" thickBot="1">
      <c r="A22" s="6">
        <v>297</v>
      </c>
      <c r="B22" t="s">
        <v>72</v>
      </c>
      <c r="C22" s="8">
        <v>1</v>
      </c>
    </row>
    <row r="23" spans="1:3" ht="15" thickBot="1">
      <c r="A23" s="6">
        <v>80</v>
      </c>
      <c r="B23" t="s">
        <v>73</v>
      </c>
      <c r="C23" s="8">
        <v>1</v>
      </c>
    </row>
    <row r="24" spans="1:3" ht="15" thickBot="1">
      <c r="A24" s="6">
        <v>141</v>
      </c>
      <c r="B24" t="s">
        <v>74</v>
      </c>
      <c r="C24" s="8">
        <v>2</v>
      </c>
    </row>
    <row r="25" spans="1:3" ht="15" thickBot="1">
      <c r="A25" s="6">
        <v>335</v>
      </c>
      <c r="B25" t="s">
        <v>75</v>
      </c>
      <c r="C25" s="8">
        <v>0</v>
      </c>
    </row>
    <row r="26" spans="1:3" ht="15" thickBot="1">
      <c r="A26" s="6">
        <v>108</v>
      </c>
      <c r="B26" s="9" t="s">
        <v>50</v>
      </c>
      <c r="C26" s="9">
        <v>0</v>
      </c>
    </row>
    <row r="27" spans="1:3" ht="15" thickBot="1">
      <c r="A27" s="6">
        <v>211</v>
      </c>
    </row>
    <row r="28" spans="1:3" ht="15" thickBot="1">
      <c r="A28" s="6">
        <v>102</v>
      </c>
    </row>
    <row r="29" spans="1:3" ht="15" thickBot="1">
      <c r="A29" s="6">
        <v>106</v>
      </c>
    </row>
    <row r="30" spans="1:3" ht="15" thickBot="1">
      <c r="A30" s="6">
        <v>362</v>
      </c>
    </row>
    <row r="31" spans="1:3" ht="15" thickBot="1">
      <c r="A31" s="6">
        <v>153</v>
      </c>
    </row>
  </sheetData>
  <sortState ref="B20:B25">
    <sortCondition ref="B20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zoomScale="70" zoomScaleNormal="70" workbookViewId="0">
      <selection sqref="A1:A31"/>
    </sheetView>
  </sheetViews>
  <sheetFormatPr defaultRowHeight="14.4"/>
  <cols>
    <col min="1" max="1" width="14.88671875" customWidth="1"/>
    <col min="2" max="2" width="35.77734375" customWidth="1"/>
  </cols>
  <sheetData>
    <row r="1" spans="1:5" ht="40.799999999999997" thickBot="1">
      <c r="A1" s="3" t="s">
        <v>4</v>
      </c>
      <c r="B1" s="10" t="s">
        <v>4</v>
      </c>
      <c r="C1" s="10"/>
      <c r="D1" t="s">
        <v>52</v>
      </c>
      <c r="E1" t="s">
        <v>62</v>
      </c>
    </row>
    <row r="2" spans="1:5" ht="15" thickBot="1">
      <c r="A2" s="6">
        <v>1520</v>
      </c>
      <c r="B2" s="8"/>
      <c r="C2" s="8"/>
      <c r="D2">
        <v>1303</v>
      </c>
      <c r="E2" t="s">
        <v>77</v>
      </c>
    </row>
    <row r="3" spans="1:5" ht="15" thickBot="1">
      <c r="A3" s="6">
        <v>7142</v>
      </c>
      <c r="B3" s="8" t="s">
        <v>36</v>
      </c>
      <c r="C3" s="8">
        <v>2709.6</v>
      </c>
      <c r="D3">
        <v>1913</v>
      </c>
      <c r="E3" t="s">
        <v>78</v>
      </c>
    </row>
    <row r="4" spans="1:5" ht="15" thickBot="1">
      <c r="A4" s="6">
        <v>2920</v>
      </c>
      <c r="B4" s="8" t="s">
        <v>37</v>
      </c>
      <c r="C4" s="8">
        <v>298.14910872662813</v>
      </c>
      <c r="D4">
        <v>2191</v>
      </c>
      <c r="E4" t="s">
        <v>79</v>
      </c>
    </row>
    <row r="5" spans="1:5" ht="15" thickBot="1">
      <c r="A5" s="6">
        <v>1804</v>
      </c>
      <c r="B5" s="8" t="s">
        <v>38</v>
      </c>
      <c r="C5" s="8">
        <v>2265.5</v>
      </c>
      <c r="D5">
        <v>2920</v>
      </c>
      <c r="E5" t="s">
        <v>80</v>
      </c>
    </row>
    <row r="6" spans="1:5" ht="15" thickBot="1">
      <c r="A6" s="6">
        <v>1303</v>
      </c>
      <c r="B6" s="8" t="s">
        <v>39</v>
      </c>
      <c r="C6" s="8">
        <v>831</v>
      </c>
      <c r="D6">
        <v>3877</v>
      </c>
      <c r="E6" t="s">
        <v>81</v>
      </c>
    </row>
    <row r="7" spans="1:5" ht="15" thickBot="1">
      <c r="A7" s="6">
        <v>2087</v>
      </c>
      <c r="B7" s="8" t="s">
        <v>40</v>
      </c>
      <c r="C7" s="8">
        <v>1633.0299234963461</v>
      </c>
      <c r="D7">
        <v>7575</v>
      </c>
      <c r="E7" t="s">
        <v>82</v>
      </c>
    </row>
    <row r="8" spans="1:5" ht="15" thickBot="1">
      <c r="A8" s="6">
        <v>3877</v>
      </c>
      <c r="B8" s="8" t="s">
        <v>41</v>
      </c>
      <c r="C8" s="8">
        <v>2666786.7310344824</v>
      </c>
    </row>
    <row r="9" spans="1:5" ht="15" thickBot="1">
      <c r="A9" s="6">
        <v>1810</v>
      </c>
      <c r="B9" s="8" t="s">
        <v>42</v>
      </c>
      <c r="C9" s="8">
        <v>2.7833573053216729</v>
      </c>
    </row>
    <row r="10" spans="1:5" ht="15" thickBot="1">
      <c r="A10" s="6">
        <v>1966</v>
      </c>
      <c r="B10" s="8" t="s">
        <v>43</v>
      </c>
      <c r="C10" s="8">
        <v>1.5677345958071072</v>
      </c>
    </row>
    <row r="11" spans="1:5" ht="15" thickBot="1">
      <c r="A11" s="6">
        <v>4160</v>
      </c>
      <c r="B11" s="8" t="s">
        <v>44</v>
      </c>
      <c r="C11" s="8">
        <v>6744</v>
      </c>
    </row>
    <row r="12" spans="1:5" ht="15" thickBot="1">
      <c r="A12" s="6">
        <v>2814</v>
      </c>
      <c r="B12" s="8" t="s">
        <v>45</v>
      </c>
      <c r="C12" s="8">
        <v>831</v>
      </c>
    </row>
    <row r="13" spans="1:5" ht="15" thickBot="1">
      <c r="A13" s="6">
        <v>3391</v>
      </c>
      <c r="B13" s="8" t="s">
        <v>46</v>
      </c>
      <c r="C13" s="8">
        <v>7575</v>
      </c>
    </row>
    <row r="14" spans="1:5" ht="15" thickBot="1">
      <c r="A14" s="6">
        <v>2191</v>
      </c>
      <c r="B14" s="8" t="s">
        <v>47</v>
      </c>
      <c r="C14" s="8">
        <v>81288</v>
      </c>
    </row>
    <row r="15" spans="1:5" ht="15" thickBot="1">
      <c r="A15" s="6">
        <v>7575</v>
      </c>
      <c r="B15" s="9" t="s">
        <v>48</v>
      </c>
      <c r="C15" s="9">
        <v>30</v>
      </c>
    </row>
    <row r="16" spans="1:5" ht="15" thickBot="1">
      <c r="A16" s="6">
        <v>2340</v>
      </c>
    </row>
    <row r="17" spans="1:3" ht="15" thickBot="1">
      <c r="A17" s="6">
        <v>3091</v>
      </c>
      <c r="B17" t="s">
        <v>62</v>
      </c>
      <c r="C17" s="10" t="s">
        <v>51</v>
      </c>
    </row>
    <row r="18" spans="1:3" ht="15" thickBot="1">
      <c r="A18" s="6">
        <v>1951</v>
      </c>
      <c r="B18" t="s">
        <v>77</v>
      </c>
      <c r="C18" s="8">
        <v>5</v>
      </c>
    </row>
    <row r="19" spans="1:3" ht="15" thickBot="1">
      <c r="A19" s="6">
        <v>1952</v>
      </c>
      <c r="B19" t="s">
        <v>78</v>
      </c>
      <c r="C19" s="8">
        <v>5</v>
      </c>
    </row>
    <row r="20" spans="1:3" ht="15" thickBot="1">
      <c r="A20" s="6">
        <v>2581</v>
      </c>
      <c r="B20" t="s">
        <v>79</v>
      </c>
      <c r="C20" s="8">
        <v>5</v>
      </c>
    </row>
    <row r="21" spans="1:3" ht="15" thickBot="1">
      <c r="A21" s="6">
        <v>4485</v>
      </c>
      <c r="B21" t="s">
        <v>80</v>
      </c>
      <c r="C21" s="8">
        <v>5</v>
      </c>
    </row>
    <row r="22" spans="1:3" ht="15" thickBot="1">
      <c r="A22" s="6">
        <v>2965</v>
      </c>
      <c r="B22" t="s">
        <v>81</v>
      </c>
      <c r="C22" s="8">
        <v>5</v>
      </c>
    </row>
    <row r="23" spans="1:3" ht="15" thickBot="1">
      <c r="A23" s="6">
        <v>831</v>
      </c>
      <c r="B23" t="s">
        <v>82</v>
      </c>
      <c r="C23" s="8">
        <v>5</v>
      </c>
    </row>
    <row r="24" spans="1:3" ht="15" thickBot="1">
      <c r="A24" s="6">
        <v>1327</v>
      </c>
      <c r="B24" s="9" t="s">
        <v>50</v>
      </c>
      <c r="C24" s="9">
        <v>0</v>
      </c>
    </row>
    <row r="25" spans="1:3" ht="15" thickBot="1">
      <c r="A25" s="6">
        <v>3619</v>
      </c>
    </row>
    <row r="26" spans="1:3" ht="15" thickBot="1">
      <c r="A26" s="6">
        <v>1211</v>
      </c>
    </row>
    <row r="27" spans="1:3" ht="15" thickBot="1">
      <c r="A27" s="6">
        <v>2357</v>
      </c>
    </row>
    <row r="28" spans="1:3" ht="15" thickBot="1">
      <c r="A28" s="6">
        <v>831</v>
      </c>
    </row>
    <row r="29" spans="1:3" ht="15" thickBot="1">
      <c r="A29" s="6">
        <v>859</v>
      </c>
    </row>
    <row r="30" spans="1:3" ht="15" thickBot="1">
      <c r="A30" s="6">
        <v>4415</v>
      </c>
    </row>
    <row r="31" spans="1:3" ht="15" thickBot="1">
      <c r="A31" s="6">
        <v>1913</v>
      </c>
    </row>
  </sheetData>
  <sortState ref="B18:B23">
    <sortCondition ref="B18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zoomScale="85" zoomScaleNormal="85" workbookViewId="0">
      <selection activeCell="F11" sqref="F11"/>
    </sheetView>
  </sheetViews>
  <sheetFormatPr defaultRowHeight="14.4"/>
  <cols>
    <col min="2" max="2" width="16.109375" customWidth="1"/>
    <col min="4" max="4" width="11.6640625" customWidth="1"/>
  </cols>
  <sheetData>
    <row r="1" spans="1:5" ht="40.799999999999997" thickBot="1">
      <c r="A1" s="4" t="s">
        <v>5</v>
      </c>
      <c r="B1" s="10" t="s">
        <v>5</v>
      </c>
      <c r="C1" s="10"/>
    </row>
    <row r="2" spans="1:5" ht="15" thickBot="1">
      <c r="A2" s="7">
        <v>3500</v>
      </c>
      <c r="B2" s="8"/>
      <c r="C2" s="8"/>
    </row>
    <row r="3" spans="1:5" ht="15" thickBot="1">
      <c r="A3" s="7">
        <v>8697</v>
      </c>
      <c r="B3" s="8" t="s">
        <v>36</v>
      </c>
      <c r="C3" s="8">
        <v>6136.9666666666662</v>
      </c>
      <c r="D3" t="s">
        <v>62</v>
      </c>
      <c r="E3" s="10" t="s">
        <v>51</v>
      </c>
    </row>
    <row r="4" spans="1:5" ht="15" thickBot="1">
      <c r="A4" s="7">
        <v>5995</v>
      </c>
      <c r="B4" s="8" t="s">
        <v>37</v>
      </c>
      <c r="C4" s="8">
        <v>394.8307348182106</v>
      </c>
      <c r="D4" t="s">
        <v>83</v>
      </c>
      <c r="E4" s="8">
        <v>5</v>
      </c>
    </row>
    <row r="5" spans="1:5" ht="15" thickBot="1">
      <c r="A5" s="7">
        <v>4485</v>
      </c>
      <c r="B5" s="8" t="s">
        <v>38</v>
      </c>
      <c r="C5" s="8">
        <v>5862</v>
      </c>
      <c r="D5" t="s">
        <v>84</v>
      </c>
      <c r="E5" s="8">
        <v>5</v>
      </c>
    </row>
    <row r="6" spans="1:5" ht="15" thickBot="1">
      <c r="A6" s="7">
        <v>3161</v>
      </c>
      <c r="B6" s="8" t="s">
        <v>39</v>
      </c>
      <c r="C6" s="8" t="e">
        <v>#N/A</v>
      </c>
      <c r="D6" t="s">
        <v>85</v>
      </c>
      <c r="E6" s="8">
        <v>5</v>
      </c>
    </row>
    <row r="7" spans="1:5" ht="15" thickBot="1">
      <c r="A7" s="7">
        <v>4646</v>
      </c>
      <c r="B7" s="8" t="s">
        <v>40</v>
      </c>
      <c r="C7" s="8">
        <v>2162.5769985627435</v>
      </c>
      <c r="D7" t="s">
        <v>86</v>
      </c>
      <c r="E7" s="8">
        <v>5</v>
      </c>
    </row>
    <row r="8" spans="1:5" ht="15" thickBot="1">
      <c r="A8" s="7">
        <v>6981</v>
      </c>
      <c r="B8" s="8" t="s">
        <v>41</v>
      </c>
      <c r="C8" s="8">
        <v>4676739.2747126445</v>
      </c>
      <c r="D8" t="s">
        <v>87</v>
      </c>
      <c r="E8" s="8">
        <v>5</v>
      </c>
    </row>
    <row r="9" spans="1:5" ht="15" thickBot="1">
      <c r="A9" s="7">
        <v>2756</v>
      </c>
      <c r="B9" s="8" t="s">
        <v>42</v>
      </c>
      <c r="C9" s="8">
        <v>-0.58928328276277542</v>
      </c>
      <c r="D9" t="s">
        <v>88</v>
      </c>
      <c r="E9" s="8">
        <v>5</v>
      </c>
    </row>
    <row r="10" spans="1:5" ht="15" thickBot="1">
      <c r="A10" s="7">
        <v>3924</v>
      </c>
      <c r="B10" s="8" t="s">
        <v>43</v>
      </c>
      <c r="C10" s="8">
        <v>0.38819805770861054</v>
      </c>
      <c r="D10" s="9" t="s">
        <v>50</v>
      </c>
      <c r="E10" s="9">
        <v>0</v>
      </c>
    </row>
    <row r="11" spans="1:5" ht="15" thickBot="1">
      <c r="A11" s="7">
        <v>7686</v>
      </c>
      <c r="B11" s="8" t="s">
        <v>44</v>
      </c>
      <c r="C11" s="8">
        <v>8439</v>
      </c>
    </row>
    <row r="12" spans="1:5" ht="15" thickBot="1">
      <c r="A12" s="7">
        <v>4836</v>
      </c>
      <c r="B12" s="8" t="s">
        <v>45</v>
      </c>
      <c r="C12" s="8">
        <v>2756</v>
      </c>
    </row>
    <row r="13" spans="1:5" ht="15" thickBot="1">
      <c r="A13" s="7">
        <v>9129</v>
      </c>
      <c r="B13" s="8" t="s">
        <v>46</v>
      </c>
      <c r="C13" s="8">
        <v>11195</v>
      </c>
    </row>
    <row r="14" spans="1:5" ht="15" thickBot="1">
      <c r="A14" s="7">
        <v>5729</v>
      </c>
      <c r="B14" s="8" t="s">
        <v>47</v>
      </c>
      <c r="C14" s="8">
        <v>184109</v>
      </c>
    </row>
    <row r="15" spans="1:5" ht="15" thickBot="1">
      <c r="A15" s="7">
        <v>9282</v>
      </c>
      <c r="B15" s="9" t="s">
        <v>48</v>
      </c>
      <c r="C15" s="9">
        <v>30</v>
      </c>
    </row>
    <row r="16" spans="1:5" ht="15" thickBot="1">
      <c r="A16" s="7">
        <v>7195</v>
      </c>
    </row>
    <row r="17" spans="1:3" ht="15" thickBot="1">
      <c r="A17" s="7">
        <v>8053</v>
      </c>
      <c r="B17" t="s">
        <v>52</v>
      </c>
      <c r="C17" t="s">
        <v>62</v>
      </c>
    </row>
    <row r="18" spans="1:3" ht="15" thickBot="1">
      <c r="A18" s="7">
        <v>5577</v>
      </c>
      <c r="B18">
        <v>3924</v>
      </c>
      <c r="C18" t="s">
        <v>83</v>
      </c>
    </row>
    <row r="19" spans="1:3" ht="15" thickBot="1">
      <c r="A19" s="7">
        <v>5189</v>
      </c>
      <c r="B19">
        <v>4646</v>
      </c>
      <c r="C19" t="s">
        <v>84</v>
      </c>
    </row>
    <row r="20" spans="1:3" ht="15" thickBot="1">
      <c r="A20" s="7">
        <v>6977</v>
      </c>
      <c r="B20">
        <v>5729</v>
      </c>
      <c r="C20" t="s">
        <v>85</v>
      </c>
    </row>
    <row r="21" spans="1:3" ht="15" thickBot="1">
      <c r="A21" s="7">
        <v>9203</v>
      </c>
      <c r="B21">
        <v>6981</v>
      </c>
      <c r="C21" t="s">
        <v>86</v>
      </c>
    </row>
    <row r="22" spans="1:3" ht="15" thickBot="1">
      <c r="A22" s="7">
        <v>7431</v>
      </c>
      <c r="B22">
        <v>8193</v>
      </c>
      <c r="C22" t="s">
        <v>87</v>
      </c>
    </row>
    <row r="23" spans="1:3" ht="15" thickBot="1">
      <c r="A23" s="7">
        <v>3160</v>
      </c>
      <c r="B23">
        <v>11195</v>
      </c>
      <c r="C23" t="s">
        <v>88</v>
      </c>
    </row>
    <row r="24" spans="1:3" ht="15" thickBot="1">
      <c r="A24" s="7">
        <v>4842</v>
      </c>
    </row>
    <row r="25" spans="1:3" ht="15" thickBot="1">
      <c r="A25" s="7">
        <v>8193</v>
      </c>
    </row>
    <row r="26" spans="1:3" ht="15" thickBot="1">
      <c r="A26" s="7">
        <v>4623</v>
      </c>
    </row>
    <row r="27" spans="1:3" ht="15" thickBot="1">
      <c r="A27" s="7">
        <v>6873</v>
      </c>
    </row>
    <row r="28" spans="1:3" ht="15" thickBot="1">
      <c r="A28" s="7">
        <v>4418</v>
      </c>
    </row>
    <row r="29" spans="1:3" ht="15" thickBot="1">
      <c r="A29" s="7">
        <v>4087</v>
      </c>
    </row>
    <row r="30" spans="1:3" ht="15" thickBot="1">
      <c r="A30" s="7">
        <v>11195</v>
      </c>
    </row>
    <row r="31" spans="1:3" ht="15" thickBot="1">
      <c r="A31" s="7">
        <v>6286</v>
      </c>
    </row>
  </sheetData>
  <sortState ref="D4:D9">
    <sortCondition ref="D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msnikolova1974@gmail.com</dc:creator>
  <cp:lastModifiedBy>msnikolova1974@gmail.com</cp:lastModifiedBy>
  <dcterms:created xsi:type="dcterms:W3CDTF">2024-01-06T06:56:31Z</dcterms:created>
  <dcterms:modified xsi:type="dcterms:W3CDTF">2024-01-06T13:00:16Z</dcterms:modified>
</cp:coreProperties>
</file>