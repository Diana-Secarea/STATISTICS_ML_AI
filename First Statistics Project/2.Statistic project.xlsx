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nik\Desktop\Стели\"/>
    </mc:Choice>
  </mc:AlternateContent>
  <bookViews>
    <workbookView xWindow="0" yWindow="0" windowWidth="23040" windowHeight="9075" firstSheet="9" activeTab="9"/>
  </bookViews>
  <sheets>
    <sheet name="DATA" sheetId="1" r:id="rId1"/>
    <sheet name="Stratified data" sheetId="5" r:id="rId2"/>
    <sheet name="1st sample" sheetId="6" r:id="rId3"/>
    <sheet name="2nd sample" sheetId="7" r:id="rId4"/>
    <sheet name="the results of the two-tail" sheetId="13" r:id="rId5"/>
    <sheet name="Hypothesis testing(two-tail)" sheetId="9" r:id="rId6"/>
    <sheet name="Hypothesis testing(one-tail)" sheetId="16" r:id="rId7"/>
    <sheet name="ANOVA" sheetId="17" r:id="rId8"/>
    <sheet name="Two- way ANOVA" sheetId="18" r:id="rId9"/>
    <sheet name="Simple linear regression" sheetId="21" r:id="rId10"/>
    <sheet name="Multiple Regression" sheetId="23" r:id="rId1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DATA!$A$1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8" l="1"/>
  <c r="E28" i="18"/>
  <c r="E29" i="18"/>
  <c r="F2" i="18"/>
  <c r="C33" i="18"/>
  <c r="M5" i="18"/>
  <c r="M6" i="18"/>
  <c r="M8" i="18"/>
  <c r="M13" i="18"/>
  <c r="M14" i="18"/>
  <c r="M16" i="18"/>
  <c r="M21" i="18"/>
  <c r="M22" i="18"/>
  <c r="M24" i="18"/>
  <c r="M29" i="18"/>
  <c r="M2" i="18"/>
  <c r="L3" i="18"/>
  <c r="L8" i="18"/>
  <c r="L9" i="18"/>
  <c r="L11" i="18"/>
  <c r="L16" i="18"/>
  <c r="L17" i="18"/>
  <c r="L19" i="18"/>
  <c r="L24" i="18"/>
  <c r="L25" i="18"/>
  <c r="L27" i="18"/>
  <c r="K4" i="18"/>
  <c r="K5" i="18"/>
  <c r="K7" i="18"/>
  <c r="K12" i="18"/>
  <c r="K13" i="18"/>
  <c r="K15" i="18"/>
  <c r="K20" i="18"/>
  <c r="K21" i="18"/>
  <c r="K23" i="18"/>
  <c r="K28" i="18"/>
  <c r="K29" i="18"/>
  <c r="E31" i="18"/>
  <c r="M7" i="18" s="1"/>
  <c r="D31" i="18"/>
  <c r="D33" i="18" s="1"/>
  <c r="C31" i="18"/>
  <c r="B31" i="18"/>
  <c r="B33" i="18" s="1"/>
  <c r="I33" i="18" s="1"/>
  <c r="G43" i="18" s="1"/>
  <c r="I43" i="18" s="1"/>
  <c r="E3" i="18"/>
  <c r="F3" i="18" s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F13" i="18" s="1"/>
  <c r="E14" i="18"/>
  <c r="F14" i="18" s="1"/>
  <c r="E15" i="18"/>
  <c r="F15" i="18" s="1"/>
  <c r="E16" i="18"/>
  <c r="F16" i="18" s="1"/>
  <c r="E17" i="18"/>
  <c r="F17" i="18" s="1"/>
  <c r="E18" i="18"/>
  <c r="F18" i="18" s="1"/>
  <c r="E19" i="18"/>
  <c r="F19" i="18" s="1"/>
  <c r="E20" i="18"/>
  <c r="F20" i="18" s="1"/>
  <c r="E21" i="18"/>
  <c r="F21" i="18" s="1"/>
  <c r="E22" i="18"/>
  <c r="F22" i="18" s="1"/>
  <c r="E23" i="18"/>
  <c r="F23" i="18" s="1"/>
  <c r="E24" i="18"/>
  <c r="F24" i="18" s="1"/>
  <c r="E25" i="18"/>
  <c r="F25" i="18" s="1"/>
  <c r="E26" i="18"/>
  <c r="F26" i="18" s="1"/>
  <c r="E27" i="18"/>
  <c r="F27" i="18" s="1"/>
  <c r="E2" i="18"/>
  <c r="P7" i="17"/>
  <c r="P6" i="17"/>
  <c r="P5" i="17"/>
  <c r="K26" i="18" l="1"/>
  <c r="K18" i="18"/>
  <c r="K10" i="18"/>
  <c r="L2" i="18"/>
  <c r="L22" i="18"/>
  <c r="L14" i="18"/>
  <c r="L6" i="18"/>
  <c r="M27" i="18"/>
  <c r="M19" i="18"/>
  <c r="M11" i="18"/>
  <c r="M3" i="18"/>
  <c r="K19" i="18"/>
  <c r="K3" i="18"/>
  <c r="L23" i="18"/>
  <c r="L7" i="18"/>
  <c r="M20" i="18"/>
  <c r="M4" i="18"/>
  <c r="K25" i="18"/>
  <c r="K17" i="18"/>
  <c r="K9" i="18"/>
  <c r="L29" i="18"/>
  <c r="L21" i="18"/>
  <c r="L13" i="18"/>
  <c r="L5" i="18"/>
  <c r="M26" i="18"/>
  <c r="M18" i="18"/>
  <c r="M10" i="18"/>
  <c r="K27" i="18"/>
  <c r="K11" i="18"/>
  <c r="L15" i="18"/>
  <c r="M28" i="18"/>
  <c r="M12" i="18"/>
  <c r="F29" i="18"/>
  <c r="K24" i="18"/>
  <c r="K16" i="18"/>
  <c r="K8" i="18"/>
  <c r="L28" i="18"/>
  <c r="L20" i="18"/>
  <c r="L12" i="18"/>
  <c r="L4" i="18"/>
  <c r="M25" i="18"/>
  <c r="M17" i="18"/>
  <c r="M9" i="18"/>
  <c r="F28" i="18"/>
  <c r="I35" i="18" s="1"/>
  <c r="G44" i="18" s="1"/>
  <c r="I44" i="18" s="1"/>
  <c r="K22" i="18"/>
  <c r="K14" i="18"/>
  <c r="K6" i="18"/>
  <c r="L26" i="18"/>
  <c r="L18" i="18"/>
  <c r="L10" i="18"/>
  <c r="K2" i="18"/>
  <c r="M23" i="18"/>
  <c r="M15" i="18"/>
  <c r="C30" i="17"/>
  <c r="C32" i="17" s="1"/>
  <c r="R23" i="17"/>
  <c r="N7" i="17"/>
  <c r="O7" i="17" s="1"/>
  <c r="N6" i="17"/>
  <c r="O6" i="17" s="1"/>
  <c r="N5" i="17"/>
  <c r="O5" i="17" s="1"/>
  <c r="G19" i="17" l="1"/>
  <c r="G21" i="17"/>
  <c r="G17" i="17"/>
  <c r="G12" i="17"/>
  <c r="G20" i="17"/>
  <c r="G9" i="17"/>
  <c r="G16" i="17"/>
  <c r="G13" i="17"/>
  <c r="I31" i="18"/>
  <c r="G8" i="17"/>
  <c r="G7" i="17"/>
  <c r="G2" i="17"/>
  <c r="G4" i="17"/>
  <c r="G6" i="17"/>
  <c r="G3" i="17"/>
  <c r="T5" i="17"/>
  <c r="G5" i="17"/>
  <c r="G28" i="17"/>
  <c r="G29" i="17"/>
  <c r="G25" i="17"/>
  <c r="G23" i="17"/>
  <c r="G27" i="17"/>
  <c r="T7" i="17"/>
  <c r="G24" i="17"/>
  <c r="G26" i="17"/>
  <c r="F25" i="17"/>
  <c r="F20" i="17"/>
  <c r="F16" i="17"/>
  <c r="F12" i="17"/>
  <c r="F5" i="17"/>
  <c r="F13" i="17"/>
  <c r="F7" i="17"/>
  <c r="F2" i="17"/>
  <c r="F28" i="17"/>
  <c r="F8" i="17"/>
  <c r="F23" i="17"/>
  <c r="F19" i="17"/>
  <c r="F15" i="17"/>
  <c r="F11" i="17"/>
  <c r="F4" i="17"/>
  <c r="F27" i="17"/>
  <c r="F6" i="17"/>
  <c r="F24" i="17"/>
  <c r="F22" i="17"/>
  <c r="F18" i="17"/>
  <c r="F14" i="17"/>
  <c r="F10" i="17"/>
  <c r="F3" i="17"/>
  <c r="F26" i="17"/>
  <c r="F21" i="17"/>
  <c r="F17" i="17"/>
  <c r="F9" i="17"/>
  <c r="F29" i="17"/>
  <c r="T6" i="17"/>
  <c r="G10" i="17"/>
  <c r="G14" i="17"/>
  <c r="G18" i="17"/>
  <c r="G22" i="17"/>
  <c r="G11" i="17"/>
  <c r="G15" i="17"/>
  <c r="Q31" i="7"/>
  <c r="Q33" i="7" s="1"/>
  <c r="Q25" i="7"/>
  <c r="Q28" i="7" s="1"/>
  <c r="Q18" i="7"/>
  <c r="Q21" i="7" s="1"/>
  <c r="O31" i="7"/>
  <c r="O34" i="7" s="1"/>
  <c r="O25" i="7"/>
  <c r="O28" i="7" s="1"/>
  <c r="O18" i="7"/>
  <c r="O20" i="7" s="1"/>
  <c r="M31" i="7"/>
  <c r="M34" i="7" s="1"/>
  <c r="M25" i="7"/>
  <c r="M28" i="7" s="1"/>
  <c r="M18" i="7"/>
  <c r="M21" i="7" s="1"/>
  <c r="K31" i="7"/>
  <c r="K34" i="7" s="1"/>
  <c r="K25" i="7"/>
  <c r="K27" i="7" s="1"/>
  <c r="K18" i="7"/>
  <c r="K21" i="7" s="1"/>
  <c r="I31" i="7"/>
  <c r="I34" i="7" s="1"/>
  <c r="I25" i="7"/>
  <c r="I27" i="7" s="1"/>
  <c r="I18" i="7"/>
  <c r="I21" i="7" s="1"/>
  <c r="Q31" i="6"/>
  <c r="Q34" i="6" s="1"/>
  <c r="Q25" i="6"/>
  <c r="Q28" i="6" s="1"/>
  <c r="O31" i="6"/>
  <c r="O33" i="6" s="1"/>
  <c r="O25" i="6"/>
  <c r="O27" i="6" s="1"/>
  <c r="M34" i="6"/>
  <c r="M31" i="6"/>
  <c r="M33" i="6" s="1"/>
  <c r="M25" i="6"/>
  <c r="M27" i="6" s="1"/>
  <c r="K31" i="6"/>
  <c r="K34" i="6" s="1"/>
  <c r="K25" i="6"/>
  <c r="K27" i="6" s="1"/>
  <c r="K21" i="6"/>
  <c r="K20" i="6"/>
  <c r="Q18" i="6"/>
  <c r="Q21" i="6" s="1"/>
  <c r="O18" i="6"/>
  <c r="O21" i="6" s="1"/>
  <c r="M18" i="6"/>
  <c r="M20" i="6" s="1"/>
  <c r="K18" i="6"/>
  <c r="I31" i="6"/>
  <c r="I33" i="6" s="1"/>
  <c r="I25" i="6"/>
  <c r="I28" i="6" s="1"/>
  <c r="I18" i="6"/>
  <c r="I20" i="6" s="1"/>
  <c r="M27" i="7" l="1"/>
  <c r="M21" i="6"/>
  <c r="O34" i="6"/>
  <c r="O20" i="6"/>
  <c r="K33" i="6"/>
  <c r="F30" i="17"/>
  <c r="M26" i="17" s="1"/>
  <c r="I37" i="18"/>
  <c r="G45" i="18" s="1"/>
  <c r="I45" i="18" s="1"/>
  <c r="G47" i="18"/>
  <c r="T8" i="17"/>
  <c r="M23" i="17" s="1"/>
  <c r="O23" i="17" s="1"/>
  <c r="G30" i="17"/>
  <c r="M24" i="17" s="1"/>
  <c r="O24" i="17" s="1"/>
  <c r="Q20" i="6"/>
  <c r="Q33" i="6"/>
  <c r="K28" i="7"/>
  <c r="O28" i="6"/>
  <c r="I20" i="7"/>
  <c r="K33" i="7"/>
  <c r="M28" i="6"/>
  <c r="O33" i="7"/>
  <c r="K28" i="6"/>
  <c r="M20" i="7"/>
  <c r="I34" i="6"/>
  <c r="Q27" i="6"/>
  <c r="I21" i="6"/>
  <c r="I28" i="7"/>
  <c r="O21" i="7"/>
  <c r="Q20" i="7"/>
  <c r="I27" i="6"/>
  <c r="I33" i="7"/>
  <c r="O27" i="7"/>
  <c r="Q27" i="7"/>
  <c r="M33" i="7"/>
  <c r="K20" i="7"/>
  <c r="Q34" i="7"/>
  <c r="J43" i="18" l="1"/>
  <c r="J44" i="18"/>
  <c r="P23" i="17"/>
</calcChain>
</file>

<file path=xl/sharedStrings.xml><?xml version="1.0" encoding="utf-8"?>
<sst xmlns="http://schemas.openxmlformats.org/spreadsheetml/2006/main" count="962" uniqueCount="176">
  <si>
    <t>Belgium</t>
  </si>
  <si>
    <t>Bulgaria</t>
  </si>
  <si>
    <t>Czechia</t>
  </si>
  <si>
    <t>Denmark</t>
  </si>
  <si>
    <t>Germany</t>
  </si>
  <si>
    <t>Estonia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</si>
  <si>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</si>
  <si>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</si>
  <si>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</si>
  <si>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</si>
  <si>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</si>
  <si>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</si>
  <si>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</si>
  <si>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</si>
  <si>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</si>
  <si>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</si>
  <si>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</si>
  <si>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</si>
  <si>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</si>
  <si>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</si>
  <si>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</si>
  <si>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</si>
  <si>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</si>
  <si>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</si>
  <si>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Sweden</t>
  </si>
  <si>
    <t>Iceland</t>
  </si>
  <si>
    <t>Norway</t>
  </si>
  <si>
    <t>Türkiye</t>
  </si>
  <si>
    <t>Daily smokers of cigarettes</t>
  </si>
  <si>
    <t>Body Mass Index (obese)</t>
  </si>
  <si>
    <t>Frequency of alcohol consumption</t>
  </si>
  <si>
    <t>Daily consumption of fruit and vegetables</t>
  </si>
  <si>
    <t>Physical activity</t>
  </si>
  <si>
    <t>Northern Europe</t>
  </si>
  <si>
    <t>Easthern Europe</t>
  </si>
  <si>
    <t>Westhern Europe</t>
  </si>
  <si>
    <t>Western Europe</t>
  </si>
  <si>
    <t>Eastern Europe</t>
  </si>
  <si>
    <t>Southern Europe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</si>
  <si>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</si>
  <si>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</si>
  <si>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</si>
  <si>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</si>
  <si>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</si>
  <si>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</si>
  <si>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</si>
  <si>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</si>
  <si>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</si>
  <si>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</si>
  <si>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</si>
  <si>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</si>
  <si>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</si>
  <si>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1) 80% confidence level</t>
  </si>
  <si>
    <t>alpha=1-0.8</t>
  </si>
  <si>
    <t>Margin of error</t>
  </si>
  <si>
    <t>Critical t</t>
  </si>
  <si>
    <t>Lower limit</t>
  </si>
  <si>
    <t>Upper limit</t>
  </si>
  <si>
    <t>(the interpretation into the slides)</t>
  </si>
  <si>
    <t>2) 90% confidence level</t>
  </si>
  <si>
    <t>alpha=1-0.9</t>
  </si>
  <si>
    <t>3) 95% confidence interval</t>
  </si>
  <si>
    <t>alpha=1-0.95</t>
  </si>
  <si>
    <t>Low</t>
  </si>
  <si>
    <t>High</t>
  </si>
  <si>
    <t>Medium</t>
  </si>
  <si>
    <t>Grouped according to daily consumption of fruits and vegetables</t>
  </si>
  <si>
    <t>Daily consumption of fruits and vegetables</t>
  </si>
  <si>
    <t>Anova: Single Factor</t>
  </si>
  <si>
    <t>SUMMARY</t>
  </si>
  <si>
    <t>Groups</t>
  </si>
  <si>
    <t>Average</t>
  </si>
  <si>
    <t>Variance</t>
  </si>
  <si>
    <t xml:space="preserve">Low </t>
  </si>
  <si>
    <t xml:space="preserve">High </t>
  </si>
  <si>
    <t>TOTAL</t>
  </si>
  <si>
    <t>Overall mean</t>
  </si>
  <si>
    <t>SSB</t>
  </si>
  <si>
    <t>Total (count= 28)</t>
  </si>
  <si>
    <t>Two-Tail</t>
  </si>
  <si>
    <t>t-Test: Two-Sample Assuming Unequal Variances</t>
  </si>
  <si>
    <t>Variable 1</t>
  </si>
  <si>
    <t>Variable 2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</si>
  <si>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</si>
  <si>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</si>
  <si>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</si>
  <si>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</si>
  <si>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</si>
  <si>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</si>
  <si>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</si>
  <si>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</si>
  <si>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The standard deviation of the population is unknown ,so we use the t-test</t>
  </si>
  <si>
    <t>For 95% of the observations,we don’t have enough evidence to support our claim,but we can't deny it either</t>
  </si>
  <si>
    <t>t Stat&lt;t critical(2.059),it doesn't fall in the critical region,so we don't reject the null hypothesis</t>
  </si>
  <si>
    <t>The number of smokers is different than the one of obese people in Europe,at 95% confidence interval</t>
  </si>
  <si>
    <t>Dummy variable</t>
  </si>
  <si>
    <t>The number of daily smokers is 18.55% in Europe,at 95% confidence interval</t>
  </si>
  <si>
    <r>
      <t>p-value&gt;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charset val="204"/>
      </rPr>
      <t xml:space="preserve">(0.05),we have enough </t>
    </r>
    <r>
      <rPr>
        <sz val="11"/>
        <color theme="1"/>
        <rFont val="Calibri"/>
        <family val="2"/>
        <charset val="204"/>
        <scheme val="minor"/>
      </rPr>
      <t>evidence</t>
    </r>
  </si>
  <si>
    <t>p-value&lt;α(0.05),we don't have enough evidence</t>
  </si>
  <si>
    <t>t Stat&lt;t critical,we cannot reject the null hypothesis</t>
  </si>
  <si>
    <t>SST (total)</t>
  </si>
  <si>
    <t>SSW (sum of square error)</t>
  </si>
  <si>
    <t>Mean for each group</t>
  </si>
  <si>
    <t>sum of square column/ between</t>
  </si>
  <si>
    <t>ANOVA</t>
  </si>
  <si>
    <t>sum of square</t>
  </si>
  <si>
    <t>mean square</t>
  </si>
  <si>
    <t>Source of Variation</t>
  </si>
  <si>
    <t>SS</t>
  </si>
  <si>
    <t>MS</t>
  </si>
  <si>
    <t>F</t>
  </si>
  <si>
    <t>P-value</t>
  </si>
  <si>
    <t>F crit</t>
  </si>
  <si>
    <t>SB</t>
  </si>
  <si>
    <t>Between Groups</t>
  </si>
  <si>
    <t>SW</t>
  </si>
  <si>
    <t>Within Groups</t>
  </si>
  <si>
    <t>Total</t>
  </si>
  <si>
    <t>The F( F-statistic) does not exceed the F-critical value, we fail to referct our null hypothesis</t>
  </si>
  <si>
    <t>Then , we do not refect H0.</t>
  </si>
  <si>
    <t>0..277143</t>
  </si>
  <si>
    <t>p-value &lt;0.05 : The result is not significant at p &lt; 0.05.</t>
  </si>
  <si>
    <t>Factor A</t>
  </si>
  <si>
    <t>Factor B</t>
  </si>
  <si>
    <t>Dependent</t>
  </si>
  <si>
    <t>MEAN ON ROW</t>
  </si>
  <si>
    <t>SST</t>
  </si>
  <si>
    <t>SST =</t>
  </si>
  <si>
    <t>SSC =</t>
  </si>
  <si>
    <t>SSC for means</t>
  </si>
  <si>
    <t>SSB =</t>
  </si>
  <si>
    <t>SSE=</t>
  </si>
  <si>
    <t>SST= SSC + SSB + SSE</t>
  </si>
  <si>
    <t>SSC</t>
  </si>
  <si>
    <t>SSE</t>
  </si>
  <si>
    <t>Mean on colomns</t>
  </si>
  <si>
    <t>MSC/MSE</t>
  </si>
  <si>
    <t>MSB/MSE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</si>
  <si>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</si>
  <si>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</si>
  <si>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</si>
  <si>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</si>
  <si>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</si>
  <si>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</si>
  <si>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</si>
  <si>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</si>
  <si>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</si>
  <si>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</si>
  <si>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</si>
  <si>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</si>
  <si>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95,0%</t>
  </si>
  <si>
    <t>Upper 95,0%</t>
  </si>
  <si>
    <t>weak linear relationship between the independent variable and the dependent variable</t>
  </si>
  <si>
    <t>About 6.54% of the variance in the dependent variable is explained by the independent variable</t>
  </si>
  <si>
    <t>approximately 2.94% of the variance in the dependent variable is explained by the independent variable(s)</t>
  </si>
  <si>
    <t>standard error of 3.921243445 suggests the average deviation of observed values from the regression line in your model</t>
  </si>
  <si>
    <t>y=17.2374+x1*0.127-x2*0.0446-x3*0.0417+x4*7.1989</t>
  </si>
  <si>
    <t>The multiple R is 0.8,so we have high positive correlation</t>
  </si>
  <si>
    <t>For 61.38% of the observations in our sample, obesity is explained by the daily consumption of fruits,number of smokers,daily consumption of vegetables .</t>
  </si>
  <si>
    <t>We chose the dummy variable as being the level of obesity(high(1),if it's over or 20%,low(0),if it's below 20%)</t>
  </si>
  <si>
    <t>Dummy</t>
  </si>
  <si>
    <t>Upper 95.0%</t>
  </si>
  <si>
    <t>Lower 95.0%</t>
  </si>
  <si>
    <t>A value of 0.0593 indicates a very weak positive correlation.</t>
  </si>
  <si>
    <t>An R square value of 0.0035 means that only 0.35% of the variability in BMI can be explained by the daily consumption of fruits and vegetables</t>
  </si>
  <si>
    <t>A negative adjusted R square value (-0.0348) suggests that the model is not a good fit</t>
  </si>
  <si>
    <t>A standard error of 4.049 indicates that the predicted BMI values typically deviate from the observed values by about 4 units</t>
  </si>
  <si>
    <t>Total: 27</t>
  </si>
  <si>
    <t>Europe</t>
  </si>
  <si>
    <t>22.222%</t>
  </si>
  <si>
    <t xml:space="preserve"> Southern</t>
  </si>
  <si>
    <t>25.926%</t>
  </si>
  <si>
    <t>Northern</t>
  </si>
  <si>
    <t>29.63%</t>
  </si>
  <si>
    <t>Eastern</t>
  </si>
  <si>
    <t>Westhern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</si>
</sst>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2"/>
      <color rgb="FF0D0D0D"/>
      <name val="Segoe UI"/>
      <family val="2"/>
    </font>
    <font>
      <sz val="15"/>
      <color rgb="FF040C2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" fillId="10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</cellStyleXfs>
  <cellXfs count="9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6" borderId="0" xfId="0" applyFont="1" applyFill="1"/>
    <xf numFmtId="0" fontId="0" fillId="0" borderId="1" xfId="0" applyBorder="1"/>
    <xf numFmtId="0" fontId="4" fillId="0" borderId="2" xfId="0" applyFont="1" applyBorder="1" applyAlignment="1">
      <alignment horizontal="centerContinuous"/>
    </xf>
    <xf numFmtId="0" fontId="0" fillId="7" borderId="0" xfId="0" applyFill="1"/>
    <xf numFmtId="0" fontId="0" fillId="7" borderId="0" xfId="0" applyFill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8" xfId="0" applyBorder="1"/>
    <xf numFmtId="0" fontId="0" fillId="5" borderId="7" xfId="0" applyFill="1" applyBorder="1"/>
    <xf numFmtId="0" fontId="0" fillId="2" borderId="7" xfId="0" applyFill="1" applyBorder="1"/>
    <xf numFmtId="0" fontId="0" fillId="3" borderId="9" xfId="0" applyFill="1" applyBorder="1"/>
    <xf numFmtId="0" fontId="0" fillId="3" borderId="1" xfId="0" applyFill="1" applyBorder="1"/>
    <xf numFmtId="0" fontId="0" fillId="0" borderId="10" xfId="0" applyBorder="1"/>
    <xf numFmtId="0" fontId="0" fillId="3" borderId="4" xfId="0" applyFill="1" applyBorder="1"/>
    <xf numFmtId="0" fontId="0" fillId="4" borderId="7" xfId="0" applyFill="1" applyBorder="1"/>
    <xf numFmtId="0" fontId="2" fillId="6" borderId="7" xfId="0" applyFont="1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4" borderId="9" xfId="0" applyFill="1" applyBorder="1"/>
    <xf numFmtId="0" fontId="0" fillId="4" borderId="1" xfId="0" applyFill="1" applyBorder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5" fillId="0" borderId="1" xfId="0" applyFont="1" applyBorder="1"/>
    <xf numFmtId="0" fontId="0" fillId="0" borderId="6" xfId="0" applyBorder="1" applyAlignment="1">
      <alignment horizontal="center" wrapText="1"/>
    </xf>
    <xf numFmtId="0" fontId="0" fillId="0" borderId="12" xfId="0" applyBorder="1"/>
    <xf numFmtId="0" fontId="0" fillId="0" borderId="7" xfId="0" applyBorder="1"/>
    <xf numFmtId="0" fontId="0" fillId="0" borderId="9" xfId="0" applyBorder="1"/>
    <xf numFmtId="0" fontId="0" fillId="3" borderId="14" xfId="0" applyFill="1" applyBorder="1"/>
    <xf numFmtId="0" fontId="0" fillId="4" borderId="14" xfId="0" applyFill="1" applyBorder="1"/>
    <xf numFmtId="0" fontId="0" fillId="2" borderId="14" xfId="0" applyFill="1" applyBorder="1"/>
    <xf numFmtId="0" fontId="0" fillId="5" borderId="14" xfId="0" applyFill="1" applyBorder="1"/>
    <xf numFmtId="0" fontId="0" fillId="0" borderId="3" xfId="0" applyBorder="1" applyAlignment="1">
      <alignment wrapText="1"/>
    </xf>
    <xf numFmtId="0" fontId="0" fillId="3" borderId="13" xfId="0" applyFill="1" applyBorder="1"/>
    <xf numFmtId="0" fontId="4" fillId="0" borderId="2" xfId="0" applyFon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13" xfId="0" applyFont="1" applyBorder="1"/>
    <xf numFmtId="0" fontId="0" fillId="0" borderId="13" xfId="0" applyBorder="1"/>
    <xf numFmtId="0" fontId="0" fillId="0" borderId="14" xfId="0" applyBorder="1"/>
    <xf numFmtId="0" fontId="12" fillId="0" borderId="0" xfId="0" applyFont="1" applyAlignment="1">
      <alignment wrapText="1"/>
    </xf>
    <xf numFmtId="0" fontId="0" fillId="0" borderId="4" xfId="0" applyBorder="1"/>
    <xf numFmtId="0" fontId="7" fillId="0" borderId="6" xfId="0" applyFont="1" applyBorder="1"/>
    <xf numFmtId="0" fontId="0" fillId="0" borderId="15" xfId="0" applyBorder="1"/>
    <xf numFmtId="0" fontId="10" fillId="8" borderId="9" xfId="2" applyBorder="1" applyAlignment="1"/>
    <xf numFmtId="0" fontId="10" fillId="8" borderId="10" xfId="2" applyBorder="1"/>
    <xf numFmtId="0" fontId="0" fillId="6" borderId="14" xfId="0" applyFill="1" applyBorder="1"/>
    <xf numFmtId="0" fontId="1" fillId="10" borderId="14" xfId="4" applyBorder="1"/>
    <xf numFmtId="0" fontId="13" fillId="9" borderId="14" xfId="3" applyFont="1" applyBorder="1"/>
    <xf numFmtId="0" fontId="0" fillId="0" borderId="16" xfId="0" applyBorder="1"/>
    <xf numFmtId="0" fontId="14" fillId="0" borderId="0" xfId="0" applyFont="1"/>
    <xf numFmtId="0" fontId="0" fillId="2" borderId="15" xfId="0" applyFill="1" applyBorder="1"/>
    <xf numFmtId="0" fontId="15" fillId="0" borderId="2" xfId="0" applyFont="1" applyBorder="1" applyAlignment="1">
      <alignment horizontal="center"/>
    </xf>
    <xf numFmtId="0" fontId="16" fillId="0" borderId="0" xfId="0" applyFont="1"/>
    <xf numFmtId="0" fontId="14" fillId="11" borderId="17" xfId="0" applyFont="1" applyFill="1" applyBorder="1"/>
    <xf numFmtId="0" fontId="14" fillId="11" borderId="0" xfId="0" applyFont="1" applyFill="1"/>
    <xf numFmtId="0" fontId="14" fillId="0" borderId="1" xfId="0" applyFont="1" applyBorder="1"/>
    <xf numFmtId="0" fontId="14" fillId="11" borderId="18" xfId="0" applyFont="1" applyFill="1" applyBorder="1"/>
    <xf numFmtId="0" fontId="0" fillId="4" borderId="15" xfId="0" applyFill="1" applyBorder="1"/>
    <xf numFmtId="0" fontId="17" fillId="0" borderId="0" xfId="0" applyFont="1"/>
    <xf numFmtId="0" fontId="10" fillId="8" borderId="11" xfId="2" applyBorder="1"/>
    <xf numFmtId="0" fontId="0" fillId="0" borderId="3" xfId="0" applyBorder="1"/>
    <xf numFmtId="0" fontId="10" fillId="8" borderId="3" xfId="2" applyBorder="1"/>
    <xf numFmtId="0" fontId="18" fillId="0" borderId="0" xfId="0" applyFont="1"/>
    <xf numFmtId="0" fontId="21" fillId="0" borderId="0" xfId="0" applyFont="1"/>
    <xf numFmtId="0" fontId="10" fillId="8" borderId="4" xfId="2" applyBorder="1"/>
    <xf numFmtId="0" fontId="10" fillId="8" borderId="6" xfId="2" applyBorder="1"/>
    <xf numFmtId="0" fontId="10" fillId="8" borderId="9" xfId="2" applyBorder="1"/>
    <xf numFmtId="0" fontId="20" fillId="13" borderId="0" xfId="6"/>
    <xf numFmtId="0" fontId="19" fillId="12" borderId="0" xfId="5"/>
    <xf numFmtId="0" fontId="3" fillId="0" borderId="0" xfId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22" fillId="0" borderId="0" xfId="0" applyFont="1"/>
    <xf numFmtId="0" fontId="23" fillId="0" borderId="0" xfId="0" applyFont="1"/>
  </cellXfs>
  <cellStyles count="7">
    <cellStyle name="40% - Accent6" xfId="4" builtinId="51"/>
    <cellStyle name="60% - Accent2" xfId="3" builtinId="36"/>
    <cellStyle name="Bad" xfId="2" builtinId="27"/>
    <cellStyle name="Good" xfId="5" builtinId="26"/>
    <cellStyle name="Neutral" xfId="6" builtinId="2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'Simple linear regression'!$AC$2</c:f>
              <c:strCache>
                <c:ptCount val="1"/>
                <c:pt idx="0">
                  <c:v>Daily smokers of cigarettes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'Simple linear regression'!$AB$3:$AB$29</c:f>
              <c:strCache>
                <c:ptCount val="27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Greece</c:v>
                </c:pt>
                <c:pt idx="7">
                  <c:v>Spain</c:v>
                </c:pt>
                <c:pt idx="8">
                  <c:v>France</c:v>
                </c:pt>
                <c:pt idx="9">
                  <c:v>Croatia</c:v>
                </c:pt>
                <c:pt idx="10">
                  <c:v>Italy</c:v>
                </c:pt>
                <c:pt idx="11">
                  <c:v>Cyprus</c:v>
                </c:pt>
                <c:pt idx="12">
                  <c:v>Latvia</c:v>
                </c:pt>
                <c:pt idx="13">
                  <c:v>Lithuania</c:v>
                </c:pt>
                <c:pt idx="14">
                  <c:v>Luxembourg</c:v>
                </c:pt>
                <c:pt idx="15">
                  <c:v>Hungary</c:v>
                </c:pt>
                <c:pt idx="16">
                  <c:v>Malta</c:v>
                </c:pt>
                <c:pt idx="17">
                  <c:v>Netherlands</c:v>
                </c:pt>
                <c:pt idx="18">
                  <c:v>Austria</c:v>
                </c:pt>
                <c:pt idx="19">
                  <c:v>Poland</c:v>
                </c:pt>
                <c:pt idx="20">
                  <c:v>Portugal</c:v>
                </c:pt>
                <c:pt idx="21">
                  <c:v>Romania</c:v>
                </c:pt>
                <c:pt idx="22">
                  <c:v>Slovenia</c:v>
                </c:pt>
                <c:pt idx="23">
                  <c:v>Slovakia</c:v>
                </c:pt>
                <c:pt idx="24">
                  <c:v>Sweden</c:v>
                </c:pt>
                <c:pt idx="25">
                  <c:v>Iceland</c:v>
                </c:pt>
                <c:pt idx="26">
                  <c:v>Norway</c:v>
                </c:pt>
              </c:strCache>
            </c:strRef>
          </c:xVal>
          <c:yVal>
            <c:numRef>
              <c:f>'Simple linear regression'!$AC$3:$AC$29</c:f>
              <c:numCache>
                <c:formatCode>General</c:formatCode>
                <c:ptCount val="27"/>
                <c:pt idx="0">
                  <c:v>12.2</c:v>
                </c:pt>
                <c:pt idx="1">
                  <c:v>20.2</c:v>
                </c:pt>
                <c:pt idx="2">
                  <c:v>18.2</c:v>
                </c:pt>
                <c:pt idx="3">
                  <c:v>10.6</c:v>
                </c:pt>
                <c:pt idx="4">
                  <c:v>20.8</c:v>
                </c:pt>
                <c:pt idx="5">
                  <c:v>16.7</c:v>
                </c:pt>
                <c:pt idx="6">
                  <c:v>18</c:v>
                </c:pt>
                <c:pt idx="7">
                  <c:v>18.399999999999999</c:v>
                </c:pt>
                <c:pt idx="8">
                  <c:v>19.100000000000001</c:v>
                </c:pt>
                <c:pt idx="9">
                  <c:v>20.6</c:v>
                </c:pt>
                <c:pt idx="10">
                  <c:v>16</c:v>
                </c:pt>
                <c:pt idx="11">
                  <c:v>20.100000000000001</c:v>
                </c:pt>
                <c:pt idx="12">
                  <c:v>19.8</c:v>
                </c:pt>
                <c:pt idx="13">
                  <c:v>14.2</c:v>
                </c:pt>
                <c:pt idx="14">
                  <c:v>9.1</c:v>
                </c:pt>
                <c:pt idx="15">
                  <c:v>22</c:v>
                </c:pt>
                <c:pt idx="16">
                  <c:v>16.899999999999999</c:v>
                </c:pt>
                <c:pt idx="17">
                  <c:v>13.3</c:v>
                </c:pt>
                <c:pt idx="18">
                  <c:v>21.2</c:v>
                </c:pt>
                <c:pt idx="19">
                  <c:v>13.2</c:v>
                </c:pt>
                <c:pt idx="20">
                  <c:v>12.2</c:v>
                </c:pt>
                <c:pt idx="21">
                  <c:v>15.7</c:v>
                </c:pt>
                <c:pt idx="22">
                  <c:v>15.4</c:v>
                </c:pt>
                <c:pt idx="23">
                  <c:v>20.399999999999999</c:v>
                </c:pt>
                <c:pt idx="24">
                  <c:v>4.9000000000000004</c:v>
                </c:pt>
                <c:pt idx="25">
                  <c:v>4.7</c:v>
                </c:pt>
                <c:pt idx="26">
                  <c:v>3.5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'Simple linear regression'!$AD$2</c:f>
              <c:strCache>
                <c:ptCount val="1"/>
                <c:pt idx="0">
                  <c:v>Frequency of alcohol consumption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'Simple linear regression'!$AB$3:$AB$29</c:f>
              <c:strCache>
                <c:ptCount val="27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Greece</c:v>
                </c:pt>
                <c:pt idx="7">
                  <c:v>Spain</c:v>
                </c:pt>
                <c:pt idx="8">
                  <c:v>France</c:v>
                </c:pt>
                <c:pt idx="9">
                  <c:v>Croatia</c:v>
                </c:pt>
                <c:pt idx="10">
                  <c:v>Italy</c:v>
                </c:pt>
                <c:pt idx="11">
                  <c:v>Cyprus</c:v>
                </c:pt>
                <c:pt idx="12">
                  <c:v>Latvia</c:v>
                </c:pt>
                <c:pt idx="13">
                  <c:v>Lithuania</c:v>
                </c:pt>
                <c:pt idx="14">
                  <c:v>Luxembourg</c:v>
                </c:pt>
                <c:pt idx="15">
                  <c:v>Hungary</c:v>
                </c:pt>
                <c:pt idx="16">
                  <c:v>Malta</c:v>
                </c:pt>
                <c:pt idx="17">
                  <c:v>Netherlands</c:v>
                </c:pt>
                <c:pt idx="18">
                  <c:v>Austria</c:v>
                </c:pt>
                <c:pt idx="19">
                  <c:v>Poland</c:v>
                </c:pt>
                <c:pt idx="20">
                  <c:v>Portugal</c:v>
                </c:pt>
                <c:pt idx="21">
                  <c:v>Romania</c:v>
                </c:pt>
                <c:pt idx="22">
                  <c:v>Slovenia</c:v>
                </c:pt>
                <c:pt idx="23">
                  <c:v>Slovakia</c:v>
                </c:pt>
                <c:pt idx="24">
                  <c:v>Sweden</c:v>
                </c:pt>
                <c:pt idx="25">
                  <c:v>Iceland</c:v>
                </c:pt>
                <c:pt idx="26">
                  <c:v>Norway</c:v>
                </c:pt>
              </c:strCache>
            </c:strRef>
          </c:xVal>
          <c:yVal>
            <c:numRef>
              <c:f>'Simple linear regression'!$AD$3:$AD$29</c:f>
              <c:numCache>
                <c:formatCode>General</c:formatCode>
                <c:ptCount val="27"/>
                <c:pt idx="0">
                  <c:v>0.9</c:v>
                </c:pt>
                <c:pt idx="1">
                  <c:v>3</c:v>
                </c:pt>
                <c:pt idx="2">
                  <c:v>2.2999999999999998</c:v>
                </c:pt>
                <c:pt idx="3">
                  <c:v>0.5</c:v>
                </c:pt>
                <c:pt idx="4">
                  <c:v>1.8</c:v>
                </c:pt>
                <c:pt idx="5">
                  <c:v>0.6</c:v>
                </c:pt>
                <c:pt idx="6">
                  <c:v>1.6</c:v>
                </c:pt>
                <c:pt idx="7">
                  <c:v>1.6</c:v>
                </c:pt>
                <c:pt idx="8">
                  <c:v>1.3</c:v>
                </c:pt>
                <c:pt idx="9">
                  <c:v>0.7</c:v>
                </c:pt>
                <c:pt idx="10">
                  <c:v>1.2</c:v>
                </c:pt>
                <c:pt idx="11">
                  <c:v>1.2</c:v>
                </c:pt>
                <c:pt idx="12">
                  <c:v>0.3</c:v>
                </c:pt>
                <c:pt idx="13">
                  <c:v>0</c:v>
                </c:pt>
                <c:pt idx="14">
                  <c:v>1</c:v>
                </c:pt>
                <c:pt idx="15">
                  <c:v>2.2000000000000002</c:v>
                </c:pt>
                <c:pt idx="16">
                  <c:v>1.4</c:v>
                </c:pt>
                <c:pt idx="17">
                  <c:v>1.6</c:v>
                </c:pt>
                <c:pt idx="18">
                  <c:v>0.6</c:v>
                </c:pt>
                <c:pt idx="19">
                  <c:v>0.3</c:v>
                </c:pt>
                <c:pt idx="20">
                  <c:v>2.4</c:v>
                </c:pt>
                <c:pt idx="21">
                  <c:v>1.2</c:v>
                </c:pt>
                <c:pt idx="22">
                  <c:v>0.7</c:v>
                </c:pt>
                <c:pt idx="23">
                  <c:v>1.1000000000000001</c:v>
                </c:pt>
                <c:pt idx="24">
                  <c:v>0.2</c:v>
                </c:pt>
                <c:pt idx="25">
                  <c:v>0.3</c:v>
                </c:pt>
                <c:pt idx="26">
                  <c:v>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08320"/>
        <c:axId val="590808712"/>
      </c:scatterChart>
      <c:valAx>
        <c:axId val="59080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08712"/>
        <c:crosses val="autoZero"/>
        <c:crossBetween val="midCat"/>
      </c:valAx>
      <c:valAx>
        <c:axId val="59080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08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'Multiple Regression'!$B$1</c:f>
              <c:strCache>
                <c:ptCount val="1"/>
                <c:pt idx="0">
                  <c:v>Daily smokers of cigarettes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'Multiple Regression'!$A$2:$A$30</c:f>
              <c:numCache>
                <c:formatCode>General</c:formatCode>
                <c:ptCount val="29"/>
                <c:pt idx="0">
                  <c:v>21.1</c:v>
                </c:pt>
                <c:pt idx="1">
                  <c:v>22.3</c:v>
                </c:pt>
                <c:pt idx="2">
                  <c:v>18.3</c:v>
                </c:pt>
                <c:pt idx="3">
                  <c:v>16.2</c:v>
                </c:pt>
                <c:pt idx="4">
                  <c:v>22.6</c:v>
                </c:pt>
                <c:pt idx="5">
                  <c:v>14.6</c:v>
                </c:pt>
                <c:pt idx="6">
                  <c:v>15.9</c:v>
                </c:pt>
                <c:pt idx="7">
                  <c:v>18.5</c:v>
                </c:pt>
                <c:pt idx="8">
                  <c:v>15.4</c:v>
                </c:pt>
                <c:pt idx="9">
                  <c:v>14.4</c:v>
                </c:pt>
                <c:pt idx="10">
                  <c:v>13.2</c:v>
                </c:pt>
                <c:pt idx="11">
                  <c:v>19.3</c:v>
                </c:pt>
                <c:pt idx="12">
                  <c:v>23.9</c:v>
                </c:pt>
                <c:pt idx="13">
                  <c:v>16.7</c:v>
                </c:pt>
                <c:pt idx="14">
                  <c:v>14.7</c:v>
                </c:pt>
                <c:pt idx="15">
                  <c:v>13.8</c:v>
                </c:pt>
                <c:pt idx="16">
                  <c:v>15.9</c:v>
                </c:pt>
                <c:pt idx="17">
                  <c:v>28.1</c:v>
                </c:pt>
                <c:pt idx="18">
                  <c:v>17.2</c:v>
                </c:pt>
                <c:pt idx="19">
                  <c:v>19.399999999999999</c:v>
                </c:pt>
                <c:pt idx="20">
                  <c:v>11.4</c:v>
                </c:pt>
                <c:pt idx="21">
                  <c:v>16.100000000000001</c:v>
                </c:pt>
                <c:pt idx="22">
                  <c:v>14.1</c:v>
                </c:pt>
                <c:pt idx="23">
                  <c:v>21.7</c:v>
                </c:pt>
                <c:pt idx="24">
                  <c:v>16.7</c:v>
                </c:pt>
                <c:pt idx="25">
                  <c:v>18.5</c:v>
                </c:pt>
                <c:pt idx="26">
                  <c:v>10.5</c:v>
                </c:pt>
                <c:pt idx="27">
                  <c:v>19.3</c:v>
                </c:pt>
                <c:pt idx="28">
                  <c:v>21.1</c:v>
                </c:pt>
              </c:numCache>
            </c:numRef>
          </c:xVal>
          <c:yVal>
            <c:numRef>
              <c:f>'Multiple Regression'!$B$2:$B$30</c:f>
              <c:numCache>
                <c:formatCode>General</c:formatCode>
                <c:ptCount val="29"/>
                <c:pt idx="0">
                  <c:v>16.7</c:v>
                </c:pt>
                <c:pt idx="1">
                  <c:v>19.8</c:v>
                </c:pt>
                <c:pt idx="2">
                  <c:v>14.2</c:v>
                </c:pt>
                <c:pt idx="3">
                  <c:v>18</c:v>
                </c:pt>
                <c:pt idx="4">
                  <c:v>20.6</c:v>
                </c:pt>
                <c:pt idx="5">
                  <c:v>20.100000000000001</c:v>
                </c:pt>
                <c:pt idx="6">
                  <c:v>12.2</c:v>
                </c:pt>
                <c:pt idx="7">
                  <c:v>20.8</c:v>
                </c:pt>
                <c:pt idx="8">
                  <c:v>18.399999999999999</c:v>
                </c:pt>
                <c:pt idx="9">
                  <c:v>19.100000000000001</c:v>
                </c:pt>
                <c:pt idx="10">
                  <c:v>20.2</c:v>
                </c:pt>
                <c:pt idx="11">
                  <c:v>18.2</c:v>
                </c:pt>
                <c:pt idx="12">
                  <c:v>22</c:v>
                </c:pt>
                <c:pt idx="13">
                  <c:v>21.2</c:v>
                </c:pt>
                <c:pt idx="14">
                  <c:v>4.9000000000000004</c:v>
                </c:pt>
                <c:pt idx="15">
                  <c:v>3.5</c:v>
                </c:pt>
                <c:pt idx="16">
                  <c:v>10.6</c:v>
                </c:pt>
                <c:pt idx="17">
                  <c:v>16.899999999999999</c:v>
                </c:pt>
                <c:pt idx="18">
                  <c:v>12.2</c:v>
                </c:pt>
                <c:pt idx="19">
                  <c:v>15.4</c:v>
                </c:pt>
                <c:pt idx="20">
                  <c:v>16</c:v>
                </c:pt>
                <c:pt idx="21">
                  <c:v>9.1</c:v>
                </c:pt>
                <c:pt idx="22">
                  <c:v>13.3</c:v>
                </c:pt>
                <c:pt idx="23">
                  <c:v>4.7</c:v>
                </c:pt>
                <c:pt idx="24">
                  <c:v>21.2</c:v>
                </c:pt>
                <c:pt idx="25">
                  <c:v>13.2</c:v>
                </c:pt>
                <c:pt idx="26">
                  <c:v>15.7</c:v>
                </c:pt>
                <c:pt idx="27">
                  <c:v>20.399999999999999</c:v>
                </c:pt>
                <c:pt idx="28">
                  <c:v>24.3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'Multiple Regression'!$C$1</c:f>
              <c:strCache>
                <c:ptCount val="1"/>
                <c:pt idx="0">
                  <c:v>Physical activity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'Multiple Regression'!$A$2:$A$30</c:f>
              <c:numCache>
                <c:formatCode>General</c:formatCode>
                <c:ptCount val="29"/>
                <c:pt idx="0">
                  <c:v>21.1</c:v>
                </c:pt>
                <c:pt idx="1">
                  <c:v>22.3</c:v>
                </c:pt>
                <c:pt idx="2">
                  <c:v>18.3</c:v>
                </c:pt>
                <c:pt idx="3">
                  <c:v>16.2</c:v>
                </c:pt>
                <c:pt idx="4">
                  <c:v>22.6</c:v>
                </c:pt>
                <c:pt idx="5">
                  <c:v>14.6</c:v>
                </c:pt>
                <c:pt idx="6">
                  <c:v>15.9</c:v>
                </c:pt>
                <c:pt idx="7">
                  <c:v>18.5</c:v>
                </c:pt>
                <c:pt idx="8">
                  <c:v>15.4</c:v>
                </c:pt>
                <c:pt idx="9">
                  <c:v>14.4</c:v>
                </c:pt>
                <c:pt idx="10">
                  <c:v>13.2</c:v>
                </c:pt>
                <c:pt idx="11">
                  <c:v>19.3</c:v>
                </c:pt>
                <c:pt idx="12">
                  <c:v>23.9</c:v>
                </c:pt>
                <c:pt idx="13">
                  <c:v>16.7</c:v>
                </c:pt>
                <c:pt idx="14">
                  <c:v>14.7</c:v>
                </c:pt>
                <c:pt idx="15">
                  <c:v>13.8</c:v>
                </c:pt>
                <c:pt idx="16">
                  <c:v>15.9</c:v>
                </c:pt>
                <c:pt idx="17">
                  <c:v>28.1</c:v>
                </c:pt>
                <c:pt idx="18">
                  <c:v>17.2</c:v>
                </c:pt>
                <c:pt idx="19">
                  <c:v>19.399999999999999</c:v>
                </c:pt>
                <c:pt idx="20">
                  <c:v>11.4</c:v>
                </c:pt>
                <c:pt idx="21">
                  <c:v>16.100000000000001</c:v>
                </c:pt>
                <c:pt idx="22">
                  <c:v>14.1</c:v>
                </c:pt>
                <c:pt idx="23">
                  <c:v>21.7</c:v>
                </c:pt>
                <c:pt idx="24">
                  <c:v>16.7</c:v>
                </c:pt>
                <c:pt idx="25">
                  <c:v>18.5</c:v>
                </c:pt>
                <c:pt idx="26">
                  <c:v>10.5</c:v>
                </c:pt>
                <c:pt idx="27">
                  <c:v>19.3</c:v>
                </c:pt>
                <c:pt idx="28">
                  <c:v>21.1</c:v>
                </c:pt>
              </c:numCache>
            </c:numRef>
          </c:xVal>
          <c:yVal>
            <c:numRef>
              <c:f>'Multiple Regression'!$C$2:$C$30</c:f>
              <c:numCache>
                <c:formatCode>General</c:formatCode>
                <c:ptCount val="29"/>
                <c:pt idx="0">
                  <c:v>31.7</c:v>
                </c:pt>
                <c:pt idx="1">
                  <c:v>31.5</c:v>
                </c:pt>
                <c:pt idx="2">
                  <c:v>39.200000000000003</c:v>
                </c:pt>
                <c:pt idx="3">
                  <c:v>30.9</c:v>
                </c:pt>
                <c:pt idx="4">
                  <c:v>42</c:v>
                </c:pt>
                <c:pt idx="5">
                  <c:v>64</c:v>
                </c:pt>
                <c:pt idx="6">
                  <c:v>32.700000000000003</c:v>
                </c:pt>
                <c:pt idx="7">
                  <c:v>13.1</c:v>
                </c:pt>
                <c:pt idx="8">
                  <c:v>33.4</c:v>
                </c:pt>
                <c:pt idx="9">
                  <c:v>33.200000000000003</c:v>
                </c:pt>
                <c:pt idx="10">
                  <c:v>56</c:v>
                </c:pt>
                <c:pt idx="11">
                  <c:v>32.9</c:v>
                </c:pt>
                <c:pt idx="12">
                  <c:v>26.8</c:v>
                </c:pt>
                <c:pt idx="13">
                  <c:v>21.3</c:v>
                </c:pt>
                <c:pt idx="14">
                  <c:v>18.3</c:v>
                </c:pt>
                <c:pt idx="15">
                  <c:v>11.8</c:v>
                </c:pt>
                <c:pt idx="16">
                  <c:v>11.8</c:v>
                </c:pt>
                <c:pt idx="17">
                  <c:v>56.7</c:v>
                </c:pt>
                <c:pt idx="18">
                  <c:v>47.2</c:v>
                </c:pt>
                <c:pt idx="19">
                  <c:v>22.6</c:v>
                </c:pt>
                <c:pt idx="20">
                  <c:v>45.2</c:v>
                </c:pt>
                <c:pt idx="21">
                  <c:v>22.5</c:v>
                </c:pt>
                <c:pt idx="22">
                  <c:v>13.9</c:v>
                </c:pt>
                <c:pt idx="23">
                  <c:v>20.6</c:v>
                </c:pt>
                <c:pt idx="24">
                  <c:v>21.3</c:v>
                </c:pt>
                <c:pt idx="25">
                  <c:v>39.6</c:v>
                </c:pt>
                <c:pt idx="26">
                  <c:v>66.400000000000006</c:v>
                </c:pt>
                <c:pt idx="27">
                  <c:v>33.4</c:v>
                </c:pt>
                <c:pt idx="28">
                  <c:v>80.5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'Multiple Regression'!$D$1</c:f>
              <c:strCache>
                <c:ptCount val="1"/>
                <c:pt idx="0">
                  <c:v>Daily consumption of fruit and vegetables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'Multiple Regression'!$A$2:$A$30</c:f>
              <c:numCache>
                <c:formatCode>General</c:formatCode>
                <c:ptCount val="29"/>
                <c:pt idx="0">
                  <c:v>21.1</c:v>
                </c:pt>
                <c:pt idx="1">
                  <c:v>22.3</c:v>
                </c:pt>
                <c:pt idx="2">
                  <c:v>18.3</c:v>
                </c:pt>
                <c:pt idx="3">
                  <c:v>16.2</c:v>
                </c:pt>
                <c:pt idx="4">
                  <c:v>22.6</c:v>
                </c:pt>
                <c:pt idx="5">
                  <c:v>14.6</c:v>
                </c:pt>
                <c:pt idx="6">
                  <c:v>15.9</c:v>
                </c:pt>
                <c:pt idx="7">
                  <c:v>18.5</c:v>
                </c:pt>
                <c:pt idx="8">
                  <c:v>15.4</c:v>
                </c:pt>
                <c:pt idx="9">
                  <c:v>14.4</c:v>
                </c:pt>
                <c:pt idx="10">
                  <c:v>13.2</c:v>
                </c:pt>
                <c:pt idx="11">
                  <c:v>19.3</c:v>
                </c:pt>
                <c:pt idx="12">
                  <c:v>23.9</c:v>
                </c:pt>
                <c:pt idx="13">
                  <c:v>16.7</c:v>
                </c:pt>
                <c:pt idx="14">
                  <c:v>14.7</c:v>
                </c:pt>
                <c:pt idx="15">
                  <c:v>13.8</c:v>
                </c:pt>
                <c:pt idx="16">
                  <c:v>15.9</c:v>
                </c:pt>
                <c:pt idx="17">
                  <c:v>28.1</c:v>
                </c:pt>
                <c:pt idx="18">
                  <c:v>17.2</c:v>
                </c:pt>
                <c:pt idx="19">
                  <c:v>19.399999999999999</c:v>
                </c:pt>
                <c:pt idx="20">
                  <c:v>11.4</c:v>
                </c:pt>
                <c:pt idx="21">
                  <c:v>16.100000000000001</c:v>
                </c:pt>
                <c:pt idx="22">
                  <c:v>14.1</c:v>
                </c:pt>
                <c:pt idx="23">
                  <c:v>21.7</c:v>
                </c:pt>
                <c:pt idx="24">
                  <c:v>16.7</c:v>
                </c:pt>
                <c:pt idx="25">
                  <c:v>18.5</c:v>
                </c:pt>
                <c:pt idx="26">
                  <c:v>10.5</c:v>
                </c:pt>
                <c:pt idx="27">
                  <c:v>19.3</c:v>
                </c:pt>
                <c:pt idx="28">
                  <c:v>21.1</c:v>
                </c:pt>
              </c:numCache>
            </c:numRef>
          </c:xVal>
          <c:yVal>
            <c:numRef>
              <c:f>'Multiple Regression'!$D$2:$D$30</c:f>
              <c:numCache>
                <c:formatCode>General</c:formatCode>
                <c:ptCount val="29"/>
                <c:pt idx="0">
                  <c:v>49.3</c:v>
                </c:pt>
                <c:pt idx="1">
                  <c:v>53.3</c:v>
                </c:pt>
                <c:pt idx="2">
                  <c:v>45.4</c:v>
                </c:pt>
                <c:pt idx="3">
                  <c:v>36.4</c:v>
                </c:pt>
                <c:pt idx="4">
                  <c:v>45.8</c:v>
                </c:pt>
                <c:pt idx="5">
                  <c:v>42.5</c:v>
                </c:pt>
                <c:pt idx="6">
                  <c:v>23.8</c:v>
                </c:pt>
                <c:pt idx="7">
                  <c:v>38.200000000000003</c:v>
                </c:pt>
                <c:pt idx="8">
                  <c:v>37.700000000000003</c:v>
                </c:pt>
                <c:pt idx="9">
                  <c:v>34.799999999999997</c:v>
                </c:pt>
                <c:pt idx="10">
                  <c:v>46.4</c:v>
                </c:pt>
                <c:pt idx="11">
                  <c:v>51.1</c:v>
                </c:pt>
                <c:pt idx="12">
                  <c:v>49.3</c:v>
                </c:pt>
                <c:pt idx="13">
                  <c:v>43.8</c:v>
                </c:pt>
                <c:pt idx="14">
                  <c:v>48.2</c:v>
                </c:pt>
                <c:pt idx="15">
                  <c:v>37.6</c:v>
                </c:pt>
                <c:pt idx="16">
                  <c:v>47.6</c:v>
                </c:pt>
                <c:pt idx="17">
                  <c:v>43.8</c:v>
                </c:pt>
                <c:pt idx="18">
                  <c:v>43.9</c:v>
                </c:pt>
                <c:pt idx="19">
                  <c:v>46</c:v>
                </c:pt>
                <c:pt idx="20">
                  <c:v>37.4</c:v>
                </c:pt>
                <c:pt idx="21">
                  <c:v>54.3</c:v>
                </c:pt>
                <c:pt idx="22">
                  <c:v>51.4</c:v>
                </c:pt>
                <c:pt idx="23">
                  <c:v>31.5</c:v>
                </c:pt>
                <c:pt idx="24">
                  <c:v>43.8</c:v>
                </c:pt>
                <c:pt idx="25">
                  <c:v>41.8</c:v>
                </c:pt>
                <c:pt idx="26">
                  <c:v>71.5</c:v>
                </c:pt>
                <c:pt idx="27">
                  <c:v>41.4</c:v>
                </c:pt>
                <c:pt idx="28">
                  <c:v>42.8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668480"/>
        <c:axId val="486666128"/>
      </c:scatterChart>
      <c:valAx>
        <c:axId val="48666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66128"/>
        <c:crosses val="autoZero"/>
        <c:crossBetween val="midCat"/>
      </c:valAx>
      <c:valAx>
        <c:axId val="4866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6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9</xdr:row>
      <xdr:rowOff>45720</xdr:rowOff>
    </xdr:from>
    <xdr:to>
      <xdr:col>14</xdr:col>
      <xdr:colOff>403860</xdr:colOff>
      <xdr:row>15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EF0EF143-535A-C608-4706-AB720BA57E4F}"/>
            </a:ext>
          </a:extLst>
        </xdr:cNvPr>
        <xdr:cNvSpPr txBox="1"/>
      </xdr:nvSpPr>
      <xdr:spPr>
        <a:xfrm>
          <a:off x="7322820" y="1691640"/>
          <a:ext cx="2834640" cy="112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H</a:t>
          </a:r>
          <a:r>
            <a:rPr lang="en-US" sz="2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2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l-GR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en-US" sz="3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l-GR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en-US" sz="3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hangingPunct="1"/>
          <a:r>
            <a:rPr lang="en-US" sz="2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en-US" sz="2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l-GR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en-US" sz="3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all equal</a:t>
          </a:r>
          <a:endParaRPr lang="en-US" sz="3200">
            <a:effectLst/>
          </a:endParaRPr>
        </a:p>
        <a:p>
          <a:endParaRPr lang="en-US" sz="2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3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9</xdr:row>
      <xdr:rowOff>45720</xdr:rowOff>
    </xdr:from>
    <xdr:to>
      <xdr:col>14</xdr:col>
      <xdr:colOff>403860</xdr:colOff>
      <xdr:row>15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97CCA33E-C7EE-4444-A6B6-3650DBC9F47D}"/>
            </a:ext>
          </a:extLst>
        </xdr:cNvPr>
        <xdr:cNvSpPr txBox="1"/>
      </xdr:nvSpPr>
      <xdr:spPr>
        <a:xfrm>
          <a:off x="6202680" y="1691640"/>
          <a:ext cx="3307080" cy="112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H</a:t>
          </a:r>
          <a:r>
            <a:rPr lang="en-US" sz="2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2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l-GR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en-US" sz="3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3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≤</a:t>
          </a:r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18.55</a:t>
          </a:r>
        </a:p>
        <a:p>
          <a:pPr eaLnBrk="1" hangingPunct="1"/>
          <a:r>
            <a:rPr lang="en-US" sz="2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en-US" sz="2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l-GR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en-US" sz="3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</a:t>
          </a:r>
          <a:r>
            <a:rPr lang="en-US" sz="3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&gt;18.55</a:t>
          </a:r>
          <a:r>
            <a:rPr lang="en-US" sz="3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en-US" sz="2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3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589365</xdr:colOff>
      <xdr:row>7</xdr:row>
      <xdr:rowOff>103359</xdr:rowOff>
    </xdr:from>
    <xdr:to>
      <xdr:col>22</xdr:col>
      <xdr:colOff>114743</xdr:colOff>
      <xdr:row>14</xdr:row>
      <xdr:rowOff>36312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Grp="1" noChangeArrowheads="1"/>
        </xdr:cNvSpPr>
      </xdr:nvSpPr>
      <xdr:spPr bwMode="auto">
        <a:xfrm>
          <a:off x="6724949" y="2903956"/>
          <a:ext cx="6888080" cy="118975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0488" tIns="44450" rIns="90488" bIns="44450" numCol="1" anchor="t" anchorCtr="0" compatLnSpc="1">
          <a:prstTxWarp prst="textNoShape">
            <a:avLst/>
          </a:prstTxWarp>
        </a:bodyPr>
        <a:lstStyle>
          <a:lvl1pPr marL="320675" indent="-320675" algn="l" defTabSz="852488" rtl="0" eaLnBrk="0" fontAlgn="base" hangingPunct="0">
            <a:spcBef>
              <a:spcPct val="20000"/>
            </a:spcBef>
            <a:spcAft>
              <a:spcPct val="0"/>
            </a:spcAft>
            <a:buClr>
              <a:schemeClr val="folHlink"/>
            </a:buClr>
            <a:buFont typeface="Wingdings" panose="05000000000000000000" pitchFamily="2" charset="2"/>
            <a:buChar char="§"/>
            <a:defRPr sz="2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93738" indent="-268288" algn="l" defTabSz="852488" rtl="0" eaLnBrk="0" fontAlgn="base" hangingPunct="0">
            <a:spcBef>
              <a:spcPct val="20000"/>
            </a:spcBef>
            <a:spcAft>
              <a:spcPct val="0"/>
            </a:spcAft>
            <a:buClr>
              <a:schemeClr val="hlink"/>
            </a:buClr>
            <a:buFont typeface="Wingdings" panose="05000000000000000000" pitchFamily="2" charset="2"/>
            <a:buChar char="§"/>
            <a:defRPr sz="2400">
              <a:solidFill>
                <a:schemeClr val="tx1"/>
              </a:solidFill>
              <a:latin typeface="+mn-lt"/>
            </a:defRPr>
          </a:lvl2pPr>
          <a:lvl3pPr marL="1068388" indent="-215900" algn="l" defTabSz="852488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2"/>
            </a:buClr>
            <a:buFont typeface="Wingdings" panose="05000000000000000000" pitchFamily="2" charset="2"/>
            <a:buChar char="§"/>
            <a:defRPr sz="2000">
              <a:solidFill>
                <a:schemeClr val="tx1"/>
              </a:solidFill>
              <a:latin typeface="+mn-lt"/>
            </a:defRPr>
          </a:lvl3pPr>
          <a:lvl4pPr marL="1493838" indent="-212725" algn="l" defTabSz="852488" rtl="0" eaLnBrk="0" fontAlgn="base" hangingPunct="0">
            <a:spcBef>
              <a:spcPct val="20000"/>
            </a:spcBef>
            <a:spcAft>
              <a:spcPct val="0"/>
            </a:spcAft>
            <a:buClr>
              <a:schemeClr val="folHlink"/>
            </a:buClr>
            <a:buFont typeface="Wingdings" panose="05000000000000000000" pitchFamily="2" charset="2"/>
            <a:buChar char="§"/>
            <a:defRPr>
              <a:solidFill>
                <a:schemeClr val="tx1"/>
              </a:solidFill>
              <a:latin typeface="+mn-lt"/>
            </a:defRPr>
          </a:lvl4pPr>
          <a:lvl5pPr marL="1919288" indent="-212725" algn="l" defTabSz="852488" rtl="0" eaLnBrk="0" fontAlgn="base" hangingPunct="0">
            <a:spcBef>
              <a:spcPct val="20000"/>
            </a:spcBef>
            <a:spcAft>
              <a:spcPct val="0"/>
            </a:spcAft>
            <a:buClr>
              <a:srgbClr val="FD2B4E"/>
            </a:buClr>
            <a:buFont typeface="Wingdings" panose="05000000000000000000" pitchFamily="2" charset="2"/>
            <a:buChar char="§"/>
            <a:defRPr>
              <a:solidFill>
                <a:schemeClr val="tx1"/>
              </a:solidFill>
              <a:latin typeface="+mn-lt"/>
            </a:defRPr>
          </a:lvl5pPr>
          <a:lvl6pPr marL="2376488" indent="-212725" algn="l" defTabSz="852488" rtl="0" fontAlgn="base">
            <a:spcBef>
              <a:spcPct val="20000"/>
            </a:spcBef>
            <a:spcAft>
              <a:spcPct val="0"/>
            </a:spcAft>
            <a:buClr>
              <a:srgbClr val="FD2B4E"/>
            </a:buClr>
            <a:buFont typeface="Wingdings" pitchFamily="2" charset="2"/>
            <a:buChar char="§"/>
            <a:defRPr>
              <a:solidFill>
                <a:schemeClr val="tx1"/>
              </a:solidFill>
              <a:latin typeface="+mn-lt"/>
            </a:defRPr>
          </a:lvl6pPr>
          <a:lvl7pPr marL="2833688" indent="-212725" algn="l" defTabSz="852488" rtl="0" fontAlgn="base">
            <a:spcBef>
              <a:spcPct val="20000"/>
            </a:spcBef>
            <a:spcAft>
              <a:spcPct val="0"/>
            </a:spcAft>
            <a:buClr>
              <a:srgbClr val="FD2B4E"/>
            </a:buClr>
            <a:buFont typeface="Wingdings" pitchFamily="2" charset="2"/>
            <a:buChar char="§"/>
            <a:defRPr>
              <a:solidFill>
                <a:schemeClr val="tx1"/>
              </a:solidFill>
              <a:latin typeface="+mn-lt"/>
            </a:defRPr>
          </a:lvl7pPr>
          <a:lvl8pPr marL="3290888" indent="-212725" algn="l" defTabSz="852488" rtl="0" fontAlgn="base">
            <a:spcBef>
              <a:spcPct val="20000"/>
            </a:spcBef>
            <a:spcAft>
              <a:spcPct val="0"/>
            </a:spcAft>
            <a:buClr>
              <a:srgbClr val="FD2B4E"/>
            </a:buClr>
            <a:buFont typeface="Wingdings" pitchFamily="2" charset="2"/>
            <a:buChar char="§"/>
            <a:defRPr>
              <a:solidFill>
                <a:schemeClr val="tx1"/>
              </a:solidFill>
              <a:latin typeface="+mn-lt"/>
            </a:defRPr>
          </a:lvl8pPr>
          <a:lvl9pPr marL="3748088" indent="-212725" algn="l" defTabSz="852488" rtl="0" fontAlgn="base">
            <a:spcBef>
              <a:spcPct val="20000"/>
            </a:spcBef>
            <a:spcAft>
              <a:spcPct val="0"/>
            </a:spcAft>
            <a:buClr>
              <a:srgbClr val="FD2B4E"/>
            </a:buClr>
            <a:buFont typeface="Wingdings" pitchFamily="2" charset="2"/>
            <a:buChar char="§"/>
            <a:defRPr>
              <a:solidFill>
                <a:schemeClr val="tx1"/>
              </a:solidFill>
              <a:latin typeface="+mn-lt"/>
            </a:defRPr>
          </a:lvl9pPr>
        </a:lstStyle>
        <a:p>
          <a:pPr eaLnBrk="1" hangingPunct="1">
            <a:buFont typeface="Wingdings" panose="05000000000000000000" pitchFamily="2" charset="2"/>
            <a:buNone/>
          </a:pPr>
          <a:r>
            <a:rPr lang="en-US" altLang="en-US" sz="2300"/>
            <a:t>H</a:t>
          </a:r>
          <a:r>
            <a:rPr lang="en-US" altLang="en-US" sz="2300" baseline="-25000"/>
            <a:t>0</a:t>
          </a:r>
          <a:r>
            <a:rPr lang="en-US" altLang="en-US" sz="2300"/>
            <a:t>: </a:t>
          </a:r>
          <a:r>
            <a:rPr lang="el-GR" altLang="en-US" sz="2300">
              <a:cs typeface="Arial" panose="020B0604020202020204" pitchFamily="34" charset="0"/>
            </a:rPr>
            <a:t>μ</a:t>
          </a:r>
          <a:r>
            <a:rPr lang="en-US" altLang="en-US" sz="2300" baseline="-25000"/>
            <a:t>1</a:t>
          </a:r>
          <a:r>
            <a:rPr lang="en-US" altLang="en-US" sz="2300"/>
            <a:t> = </a:t>
          </a:r>
          <a:r>
            <a:rPr lang="el-GR" altLang="en-US" sz="2300">
              <a:cs typeface="Arial" panose="020B0604020202020204" pitchFamily="34" charset="0"/>
            </a:rPr>
            <a:t>μ</a:t>
          </a:r>
          <a:r>
            <a:rPr lang="en-US" altLang="en-US" sz="2300" baseline="-25000"/>
            <a:t>2</a:t>
          </a:r>
          <a:r>
            <a:rPr lang="en-US" altLang="en-US" sz="2300"/>
            <a:t> = </a:t>
          </a:r>
          <a:r>
            <a:rPr lang="el-GR" altLang="en-US" sz="2300">
              <a:cs typeface="Arial" panose="020B0604020202020204" pitchFamily="34" charset="0"/>
            </a:rPr>
            <a:t>μ</a:t>
          </a:r>
          <a:r>
            <a:rPr lang="en-US" altLang="en-US" sz="2300" baseline="-25000"/>
            <a:t>3</a:t>
          </a:r>
          <a:endParaRPr lang="en-US" altLang="en-US" sz="2300"/>
        </a:p>
        <a:p>
          <a:pPr eaLnBrk="1" hangingPunct="1">
            <a:buFont typeface="Wingdings" panose="05000000000000000000" pitchFamily="2" charset="2"/>
            <a:buNone/>
          </a:pPr>
          <a:r>
            <a:rPr lang="en-US" altLang="en-US" sz="2300"/>
            <a:t>H</a:t>
          </a:r>
          <a:r>
            <a:rPr lang="en-US" altLang="en-US" sz="2300" baseline="-25000"/>
            <a:t>a</a:t>
          </a:r>
          <a:r>
            <a:rPr lang="en-US" altLang="en-US" sz="2300"/>
            <a:t>: </a:t>
          </a:r>
          <a:r>
            <a:rPr lang="el-GR" altLang="en-US" sz="2300">
              <a:cs typeface="Arial" panose="020B0604020202020204" pitchFamily="34" charset="0"/>
            </a:rPr>
            <a:t>μ</a:t>
          </a:r>
          <a:r>
            <a:rPr lang="en-US" altLang="en-US" sz="2300" baseline="-25000"/>
            <a:t>i</a:t>
          </a:r>
          <a:r>
            <a:rPr lang="en-US" altLang="en-US" sz="2300"/>
            <a:t> not all equal            N-1=27         </a:t>
          </a:r>
          <a:r>
            <a:rPr lang="en-US" altLang="en-US" sz="2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n-US" altLang="en-US" sz="28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crit</a:t>
          </a:r>
          <a:r>
            <a:rPr lang="en-US" sz="2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=F</a:t>
          </a:r>
          <a:r>
            <a:rPr lang="en-US" sz="28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0.5,2,25</a:t>
          </a:r>
          <a:r>
            <a:rPr lang="en-US" sz="2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endParaRPr lang="en-US" altLang="en-US" sz="2300"/>
        </a:p>
        <a:p>
          <a:pPr eaLnBrk="1" hangingPunct="1">
            <a:buFont typeface="Wingdings" panose="05000000000000000000" pitchFamily="2" charset="2"/>
            <a:buNone/>
          </a:pPr>
          <a:r>
            <a:rPr lang="en-US" altLang="en-US" sz="2300">
              <a:sym typeface="Symbol" panose="05050102010706020507" pitchFamily="18" charset="2"/>
            </a:rPr>
            <a:t></a:t>
          </a:r>
          <a:r>
            <a:rPr lang="en-US" altLang="en-US" sz="2300"/>
            <a:t> = 0.05</a:t>
          </a:r>
        </a:p>
        <a:p>
          <a:pPr eaLnBrk="1" hangingPunct="1">
            <a:buFont typeface="Wingdings" panose="05000000000000000000" pitchFamily="2" charset="2"/>
            <a:buNone/>
          </a:pPr>
          <a:r>
            <a:rPr lang="en-US" altLang="en-US" sz="2300"/>
            <a:t>df</a:t>
          </a:r>
          <a:r>
            <a:rPr lang="en-US" altLang="en-US" sz="2300" baseline="-25000"/>
            <a:t>columns</a:t>
          </a:r>
          <a:r>
            <a:rPr lang="en-US" altLang="en-US" sz="2300"/>
            <a:t>=  C-1=2     df</a:t>
          </a:r>
          <a:r>
            <a:rPr lang="en-US" altLang="en-US" sz="2300" baseline="-25000"/>
            <a:t>error</a:t>
          </a:r>
          <a:r>
            <a:rPr lang="en-US" altLang="en-US" sz="2300"/>
            <a:t> =  N-C=25      SST=SSW+SSB=427.75</a:t>
          </a:r>
          <a:endParaRPr lang="en-US" altLang="en-US" sz="23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423059</xdr:colOff>
      <xdr:row>20</xdr:row>
      <xdr:rowOff>88075</xdr:rowOff>
    </xdr:from>
    <xdr:to>
      <xdr:col>38</xdr:col>
      <xdr:colOff>145968</xdr:colOff>
      <xdr:row>34</xdr:row>
      <xdr:rowOff>233548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128789</xdr:colOff>
      <xdr:row>0</xdr:row>
      <xdr:rowOff>30319</xdr:rowOff>
    </xdr:from>
    <xdr:to>
      <xdr:col>20</xdr:col>
      <xdr:colOff>474909</xdr:colOff>
      <xdr:row>9</xdr:row>
      <xdr:rowOff>103836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="75" zoomScaleNormal="100" workbookViewId="0">
      <selection activeCell="D1" sqref="D1:D28"/>
    </sheetView>
  </sheetViews>
  <sheetFormatPr defaultRowHeight="15" x14ac:dyDescent="0.25"/>
  <cols>
    <col min="1" max="1" width="12.5703125" customWidth="1"/>
    <col min="2" max="2" width="15.42578125" customWidth="1"/>
    <col min="3" max="3" width="13" customWidth="1"/>
    <col min="4" max="4" width="12.42578125" customWidth="1"/>
    <col min="5" max="5" width="14.7109375" customWidth="1"/>
    <col min="8" max="8" width="9.7109375" customWidth="1"/>
    <col min="9" max="9" width="4" customWidth="1"/>
    <col min="11" max="11" width="22.5703125" customWidth="1"/>
    <col min="13" max="13" width="23" customWidth="1"/>
    <col min="15" max="15" width="22.28515625" customWidth="1"/>
    <col min="17" max="17" width="21.42578125" customWidth="1"/>
    <col min="18" max="18" width="13.140625" customWidth="1"/>
    <col min="19" max="19" width="23" customWidth="1"/>
  </cols>
  <sheetData>
    <row r="1" spans="1:13" ht="57" customHeight="1" x14ac:dyDescent="0.25">
      <c r="A1" s="1">
        <v>2019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13" x14ac:dyDescent="0.25">
      <c r="A2" s="5" t="s">
        <v>0</v>
      </c>
      <c r="B2" s="3">
        <v>12.2</v>
      </c>
      <c r="C2" s="3">
        <v>15.9</v>
      </c>
      <c r="D2" s="3">
        <v>0.9</v>
      </c>
      <c r="E2" s="3">
        <v>23.8</v>
      </c>
      <c r="F2" s="3">
        <v>32.700000000000003</v>
      </c>
    </row>
    <row r="3" spans="1:13" x14ac:dyDescent="0.25">
      <c r="A3" s="4" t="s">
        <v>1</v>
      </c>
      <c r="B3" s="4">
        <v>20.2</v>
      </c>
      <c r="C3" s="4">
        <v>13.2</v>
      </c>
      <c r="D3" s="4">
        <v>3</v>
      </c>
      <c r="E3" s="4">
        <v>46.4</v>
      </c>
      <c r="F3" s="4">
        <v>56</v>
      </c>
    </row>
    <row r="4" spans="1:13" x14ac:dyDescent="0.25">
      <c r="A4" s="4" t="s">
        <v>2</v>
      </c>
      <c r="B4" s="4">
        <v>18.2</v>
      </c>
      <c r="C4" s="4">
        <v>19.3</v>
      </c>
      <c r="D4" s="4">
        <v>2.2999999999999998</v>
      </c>
      <c r="E4" s="4">
        <v>51.1</v>
      </c>
      <c r="F4" s="4">
        <v>32.9</v>
      </c>
    </row>
    <row r="5" spans="1:13" x14ac:dyDescent="0.25">
      <c r="A5" s="2" t="s">
        <v>3</v>
      </c>
      <c r="B5" s="2">
        <v>10.6</v>
      </c>
      <c r="C5" s="2">
        <v>15.9</v>
      </c>
      <c r="D5" s="2">
        <v>0.5</v>
      </c>
      <c r="E5" s="2">
        <v>47.6</v>
      </c>
      <c r="F5" s="2">
        <v>11.8</v>
      </c>
    </row>
    <row r="6" spans="1:13" x14ac:dyDescent="0.25">
      <c r="A6" s="3" t="s">
        <v>4</v>
      </c>
      <c r="B6" s="3">
        <v>20.8</v>
      </c>
      <c r="C6" s="3">
        <v>18.5</v>
      </c>
      <c r="D6" s="3">
        <v>1.8</v>
      </c>
      <c r="E6" s="3">
        <v>38.200000000000003</v>
      </c>
      <c r="F6" s="3">
        <v>13.1</v>
      </c>
    </row>
    <row r="7" spans="1:13" x14ac:dyDescent="0.25">
      <c r="A7" s="2" t="s">
        <v>5</v>
      </c>
      <c r="B7" s="2">
        <v>16.7</v>
      </c>
      <c r="C7" s="2">
        <v>21.1</v>
      </c>
      <c r="D7" s="2">
        <v>0.6</v>
      </c>
      <c r="E7" s="2">
        <v>49.3</v>
      </c>
      <c r="F7" s="2">
        <v>31.7</v>
      </c>
    </row>
    <row r="8" spans="1:13" x14ac:dyDescent="0.25">
      <c r="A8" s="6" t="s">
        <v>6</v>
      </c>
      <c r="B8" s="6">
        <v>18</v>
      </c>
      <c r="C8" s="6">
        <v>16.2</v>
      </c>
      <c r="D8" s="6">
        <v>1.6</v>
      </c>
      <c r="E8" s="6">
        <v>36.4</v>
      </c>
      <c r="F8" s="6">
        <v>30.9</v>
      </c>
    </row>
    <row r="9" spans="1:13" x14ac:dyDescent="0.25">
      <c r="A9" s="3" t="s">
        <v>7</v>
      </c>
      <c r="B9" s="3">
        <v>18.399999999999999</v>
      </c>
      <c r="C9" s="3">
        <v>15.4</v>
      </c>
      <c r="D9" s="3">
        <v>1.6</v>
      </c>
      <c r="E9" s="3">
        <v>37.700000000000003</v>
      </c>
      <c r="F9" s="3">
        <v>33.4</v>
      </c>
    </row>
    <row r="10" spans="1:13" x14ac:dyDescent="0.25">
      <c r="A10" s="3" t="s">
        <v>8</v>
      </c>
      <c r="B10" s="3">
        <v>19.100000000000001</v>
      </c>
      <c r="C10" s="3">
        <v>14.4</v>
      </c>
      <c r="D10" s="3">
        <v>1.3</v>
      </c>
      <c r="E10" s="3">
        <v>34.799999999999997</v>
      </c>
      <c r="F10" s="3">
        <v>33.200000000000003</v>
      </c>
    </row>
    <row r="11" spans="1:13" x14ac:dyDescent="0.25">
      <c r="A11" s="6" t="s">
        <v>9</v>
      </c>
      <c r="B11" s="6">
        <v>20.6</v>
      </c>
      <c r="C11" s="6">
        <v>22.6</v>
      </c>
      <c r="D11" s="6">
        <v>0.7</v>
      </c>
      <c r="E11" s="6">
        <v>45.8</v>
      </c>
      <c r="F11" s="6">
        <v>42</v>
      </c>
    </row>
    <row r="12" spans="1:13" ht="30" x14ac:dyDescent="0.25">
      <c r="A12" s="3" t="s">
        <v>10</v>
      </c>
      <c r="B12" s="3">
        <v>16</v>
      </c>
      <c r="C12" s="3">
        <v>11.4</v>
      </c>
      <c r="D12" s="3">
        <v>1.2</v>
      </c>
      <c r="E12" s="3">
        <v>37.4</v>
      </c>
      <c r="F12" s="3">
        <v>45.2</v>
      </c>
      <c r="L12" s="5" t="s">
        <v>36</v>
      </c>
      <c r="M12" s="3">
        <v>8</v>
      </c>
    </row>
    <row r="13" spans="1:13" ht="30" x14ac:dyDescent="0.25">
      <c r="A13" s="6" t="s">
        <v>11</v>
      </c>
      <c r="B13" s="6">
        <v>20.100000000000001</v>
      </c>
      <c r="C13" s="6">
        <v>14.6</v>
      </c>
      <c r="D13" s="6">
        <v>1.2</v>
      </c>
      <c r="E13" s="6">
        <v>42.5</v>
      </c>
      <c r="F13" s="6">
        <v>64</v>
      </c>
      <c r="L13" s="8" t="s">
        <v>37</v>
      </c>
      <c r="M13" s="4">
        <v>7</v>
      </c>
    </row>
    <row r="14" spans="1:13" ht="30" x14ac:dyDescent="0.25">
      <c r="A14" s="2" t="s">
        <v>12</v>
      </c>
      <c r="B14" s="2">
        <v>19.8</v>
      </c>
      <c r="C14" s="2">
        <v>22.3</v>
      </c>
      <c r="D14" s="2">
        <v>0.3</v>
      </c>
      <c r="E14" s="2">
        <v>53.3</v>
      </c>
      <c r="F14" s="2">
        <v>31.5</v>
      </c>
      <c r="L14" s="10" t="s">
        <v>33</v>
      </c>
      <c r="M14" s="2">
        <v>6</v>
      </c>
    </row>
    <row r="15" spans="1:13" ht="30" x14ac:dyDescent="0.25">
      <c r="A15" s="2" t="s">
        <v>13</v>
      </c>
      <c r="B15" s="2">
        <v>14.2</v>
      </c>
      <c r="C15" s="2">
        <v>18.3</v>
      </c>
      <c r="D15" s="2">
        <v>0</v>
      </c>
      <c r="E15" s="2">
        <v>45.4</v>
      </c>
      <c r="F15" s="2">
        <v>39.200000000000003</v>
      </c>
      <c r="L15" s="9" t="s">
        <v>38</v>
      </c>
      <c r="M15" s="6">
        <v>6</v>
      </c>
    </row>
    <row r="16" spans="1:13" x14ac:dyDescent="0.25">
      <c r="A16" s="3" t="s">
        <v>14</v>
      </c>
      <c r="B16" s="3">
        <v>9.1</v>
      </c>
      <c r="C16" s="3">
        <v>16.100000000000001</v>
      </c>
      <c r="D16" s="3">
        <v>1</v>
      </c>
      <c r="E16" s="3">
        <v>54.3</v>
      </c>
      <c r="F16" s="3">
        <v>22.5</v>
      </c>
      <c r="L16" t="s">
        <v>167</v>
      </c>
    </row>
    <row r="17" spans="1:6" x14ac:dyDescent="0.25">
      <c r="A17" s="4" t="s">
        <v>15</v>
      </c>
      <c r="B17" s="4">
        <v>22</v>
      </c>
      <c r="C17" s="4">
        <v>23.9</v>
      </c>
      <c r="D17" s="4">
        <v>2.2000000000000002</v>
      </c>
      <c r="E17" s="4">
        <v>49.3</v>
      </c>
      <c r="F17" s="4">
        <v>26.8</v>
      </c>
    </row>
    <row r="18" spans="1:6" x14ac:dyDescent="0.25">
      <c r="A18" s="6" t="s">
        <v>16</v>
      </c>
      <c r="B18" s="6">
        <v>16.899999999999999</v>
      </c>
      <c r="C18" s="6">
        <v>28.1</v>
      </c>
      <c r="D18" s="6">
        <v>1.4</v>
      </c>
      <c r="E18" s="6">
        <v>43.8</v>
      </c>
      <c r="F18" s="6">
        <v>56.7</v>
      </c>
    </row>
    <row r="19" spans="1:6" x14ac:dyDescent="0.25">
      <c r="A19" s="3" t="s">
        <v>17</v>
      </c>
      <c r="B19" s="3">
        <v>13.3</v>
      </c>
      <c r="C19" s="3">
        <v>14.1</v>
      </c>
      <c r="D19" s="3">
        <v>1.6</v>
      </c>
      <c r="E19" s="3">
        <v>51.4</v>
      </c>
      <c r="F19" s="3">
        <v>13.9</v>
      </c>
    </row>
    <row r="20" spans="1:6" x14ac:dyDescent="0.25">
      <c r="A20" s="4" t="s">
        <v>18</v>
      </c>
      <c r="B20" s="4">
        <v>21.2</v>
      </c>
      <c r="C20" s="4">
        <v>16.7</v>
      </c>
      <c r="D20" s="4">
        <v>0.6</v>
      </c>
      <c r="E20" s="4">
        <v>43.8</v>
      </c>
      <c r="F20" s="4">
        <v>21.3</v>
      </c>
    </row>
    <row r="21" spans="1:6" x14ac:dyDescent="0.25">
      <c r="A21" s="4" t="s">
        <v>19</v>
      </c>
      <c r="B21" s="4">
        <v>13.2</v>
      </c>
      <c r="C21" s="4">
        <v>18.5</v>
      </c>
      <c r="D21" s="4">
        <v>0.3</v>
      </c>
      <c r="E21" s="4">
        <v>41.8</v>
      </c>
      <c r="F21" s="4">
        <v>39.6</v>
      </c>
    </row>
    <row r="22" spans="1:6" x14ac:dyDescent="0.25">
      <c r="A22" s="6" t="s">
        <v>20</v>
      </c>
      <c r="B22" s="6">
        <v>12.2</v>
      </c>
      <c r="C22" s="6">
        <v>17.2</v>
      </c>
      <c r="D22" s="6">
        <v>2.4</v>
      </c>
      <c r="E22" s="6">
        <v>43.9</v>
      </c>
      <c r="F22" s="6">
        <v>47.2</v>
      </c>
    </row>
    <row r="23" spans="1:6" x14ac:dyDescent="0.25">
      <c r="A23" s="4" t="s">
        <v>21</v>
      </c>
      <c r="B23" s="4">
        <v>15.7</v>
      </c>
      <c r="C23" s="4">
        <v>10.5</v>
      </c>
      <c r="D23" s="4">
        <v>1.2</v>
      </c>
      <c r="E23" s="4">
        <v>71.5</v>
      </c>
      <c r="F23" s="4">
        <v>66.400000000000006</v>
      </c>
    </row>
    <row r="24" spans="1:6" x14ac:dyDescent="0.25">
      <c r="A24" s="6" t="s">
        <v>22</v>
      </c>
      <c r="B24" s="6">
        <v>15.4</v>
      </c>
      <c r="C24" s="6">
        <v>19.399999999999999</v>
      </c>
      <c r="D24" s="6">
        <v>0.7</v>
      </c>
      <c r="E24" s="6">
        <v>46</v>
      </c>
      <c r="F24" s="6">
        <v>22.6</v>
      </c>
    </row>
    <row r="25" spans="1:6" x14ac:dyDescent="0.25">
      <c r="A25" s="4" t="s">
        <v>23</v>
      </c>
      <c r="B25" s="4">
        <v>20.399999999999999</v>
      </c>
      <c r="C25" s="4">
        <v>19.3</v>
      </c>
      <c r="D25" s="4">
        <v>1.1000000000000001</v>
      </c>
      <c r="E25" s="4">
        <v>41.4</v>
      </c>
      <c r="F25" s="4">
        <v>33.4</v>
      </c>
    </row>
    <row r="26" spans="1:6" x14ac:dyDescent="0.25">
      <c r="A26" s="2" t="s">
        <v>24</v>
      </c>
      <c r="B26" s="2">
        <v>4.9000000000000004</v>
      </c>
      <c r="C26" s="2">
        <v>14.7</v>
      </c>
      <c r="D26" s="2">
        <v>0.2</v>
      </c>
      <c r="E26" s="2">
        <v>48.2</v>
      </c>
      <c r="F26" s="2">
        <v>18.3</v>
      </c>
    </row>
    <row r="27" spans="1:6" x14ac:dyDescent="0.25">
      <c r="A27" s="3" t="s">
        <v>25</v>
      </c>
      <c r="B27" s="3">
        <v>4.7</v>
      </c>
      <c r="C27" s="3">
        <v>21.7</v>
      </c>
      <c r="D27" s="3">
        <v>0.3</v>
      </c>
      <c r="E27" s="3">
        <v>31.5</v>
      </c>
      <c r="F27" s="3">
        <v>20.6</v>
      </c>
    </row>
    <row r="28" spans="1:6" x14ac:dyDescent="0.25">
      <c r="A28" s="2" t="s">
        <v>26</v>
      </c>
      <c r="B28" s="2">
        <v>3.5</v>
      </c>
      <c r="C28" s="2">
        <v>13.8</v>
      </c>
      <c r="D28" s="2">
        <v>0.2</v>
      </c>
      <c r="E28" s="2">
        <v>37.6</v>
      </c>
      <c r="F28" s="2">
        <v>11.8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5" sqref="F5"/>
    </sheetView>
  </sheetViews>
  <sheetFormatPr defaultRowHeight="15" x14ac:dyDescent="0.25"/>
  <cols>
    <col min="3" max="3" width="10.42578125" customWidth="1"/>
    <col min="6" max="6" width="12.42578125" customWidth="1"/>
    <col min="8" max="8" width="13" customWidth="1"/>
  </cols>
  <sheetData>
    <row r="1" spans="1:8" ht="30" x14ac:dyDescent="0.25">
      <c r="A1" s="1" t="s">
        <v>33</v>
      </c>
      <c r="B1" s="1" t="s">
        <v>38</v>
      </c>
      <c r="C1" s="1" t="s">
        <v>35</v>
      </c>
      <c r="D1" s="1" t="s">
        <v>34</v>
      </c>
    </row>
    <row r="2" spans="1:8" x14ac:dyDescent="0.25">
      <c r="A2" s="2" t="s">
        <v>5</v>
      </c>
      <c r="B2" s="6" t="s">
        <v>6</v>
      </c>
      <c r="C2" s="5" t="s">
        <v>0</v>
      </c>
      <c r="D2" s="4" t="s">
        <v>1</v>
      </c>
      <c r="F2" t="s">
        <v>171</v>
      </c>
      <c r="G2" t="s">
        <v>174</v>
      </c>
      <c r="H2" t="s">
        <v>168</v>
      </c>
    </row>
    <row r="3" spans="1:8" ht="18.75" x14ac:dyDescent="0.25">
      <c r="A3" s="2" t="s">
        <v>12</v>
      </c>
      <c r="B3" s="6" t="s">
        <v>9</v>
      </c>
      <c r="C3" s="3" t="s">
        <v>4</v>
      </c>
      <c r="D3" s="4" t="s">
        <v>2</v>
      </c>
      <c r="F3" s="90" t="s">
        <v>169</v>
      </c>
      <c r="G3" t="s">
        <v>170</v>
      </c>
      <c r="H3" t="s">
        <v>168</v>
      </c>
    </row>
    <row r="4" spans="1:8" ht="18.75" x14ac:dyDescent="0.25">
      <c r="A4" s="2" t="s">
        <v>13</v>
      </c>
      <c r="B4" s="6" t="s">
        <v>11</v>
      </c>
      <c r="C4" s="3" t="s">
        <v>7</v>
      </c>
      <c r="D4" s="4" t="s">
        <v>15</v>
      </c>
      <c r="F4" s="90" t="s">
        <v>169</v>
      </c>
      <c r="G4" t="s">
        <v>172</v>
      </c>
      <c r="H4" t="s">
        <v>168</v>
      </c>
    </row>
    <row r="5" spans="1:8" ht="18.75" x14ac:dyDescent="0.25">
      <c r="A5" s="2" t="s">
        <v>24</v>
      </c>
      <c r="B5" s="6" t="s">
        <v>16</v>
      </c>
      <c r="C5" s="3" t="s">
        <v>8</v>
      </c>
      <c r="D5" s="4" t="s">
        <v>18</v>
      </c>
      <c r="F5" s="90" t="s">
        <v>173</v>
      </c>
      <c r="G5" t="s">
        <v>175</v>
      </c>
      <c r="H5" t="s">
        <v>168</v>
      </c>
    </row>
    <row r="6" spans="1:8" x14ac:dyDescent="0.25">
      <c r="A6" s="2" t="s">
        <v>26</v>
      </c>
      <c r="B6" s="6" t="s">
        <v>20</v>
      </c>
      <c r="C6" s="3" t="s">
        <v>10</v>
      </c>
      <c r="D6" s="4" t="s">
        <v>19</v>
      </c>
    </row>
    <row r="7" spans="1:8" x14ac:dyDescent="0.25">
      <c r="A7" s="2" t="s">
        <v>3</v>
      </c>
      <c r="B7" s="6" t="s">
        <v>22</v>
      </c>
      <c r="C7" s="3" t="s">
        <v>14</v>
      </c>
      <c r="D7" s="4" t="s">
        <v>21</v>
      </c>
    </row>
    <row r="8" spans="1:8" x14ac:dyDescent="0.25">
      <c r="C8" s="3" t="s">
        <v>17</v>
      </c>
      <c r="D8" s="4" t="s">
        <v>23</v>
      </c>
    </row>
    <row r="9" spans="1:8" x14ac:dyDescent="0.25">
      <c r="C9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76" workbookViewId="0">
      <selection activeCell="C1" sqref="C1:C15"/>
    </sheetView>
  </sheetViews>
  <sheetFormatPr defaultRowHeight="15" x14ac:dyDescent="0.25"/>
  <cols>
    <col min="1" max="1" width="23.28515625" bestFit="1" customWidth="1"/>
    <col min="2" max="2" width="15.28515625" customWidth="1"/>
    <col min="3" max="3" width="15" customWidth="1"/>
    <col min="4" max="4" width="14.85546875" customWidth="1"/>
    <col min="5" max="5" width="13.28515625" customWidth="1"/>
    <col min="6" max="6" width="12.5703125" customWidth="1"/>
    <col min="7" max="7" width="9.140625" customWidth="1"/>
    <col min="8" max="8" width="24.42578125" customWidth="1"/>
    <col min="9" max="9" width="9.140625" customWidth="1"/>
    <col min="10" max="10" width="27.28515625" customWidth="1"/>
    <col min="12" max="12" width="23.7109375" customWidth="1"/>
    <col min="14" max="14" width="23.42578125" customWidth="1"/>
    <col min="15" max="15" width="15" customWidth="1"/>
    <col min="16" max="16" width="23" customWidth="1"/>
  </cols>
  <sheetData>
    <row r="1" spans="1:17" ht="61.5" customHeight="1" x14ac:dyDescent="0.25">
      <c r="A1">
        <v>2019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H1" s="13" t="s">
        <v>28</v>
      </c>
      <c r="I1" s="13"/>
      <c r="J1" s="13" t="s">
        <v>30</v>
      </c>
      <c r="K1" s="13"/>
      <c r="L1" s="13" t="s">
        <v>29</v>
      </c>
      <c r="M1" s="13"/>
      <c r="N1" s="13" t="s">
        <v>31</v>
      </c>
      <c r="O1" s="13"/>
      <c r="P1" s="13" t="s">
        <v>32</v>
      </c>
      <c r="Q1" s="13"/>
    </row>
    <row r="2" spans="1:17" x14ac:dyDescent="0.25">
      <c r="A2" s="2" t="s">
        <v>5</v>
      </c>
      <c r="B2" s="2">
        <v>16.7</v>
      </c>
      <c r="C2" s="2">
        <v>21.1</v>
      </c>
      <c r="D2" s="2">
        <v>0.6</v>
      </c>
      <c r="E2" s="2">
        <v>49.3</v>
      </c>
      <c r="F2" s="2">
        <v>31.7</v>
      </c>
    </row>
    <row r="3" spans="1:17" x14ac:dyDescent="0.25">
      <c r="A3" s="2" t="s">
        <v>12</v>
      </c>
      <c r="B3" s="2">
        <v>19.8</v>
      </c>
      <c r="C3" s="2">
        <v>22.3</v>
      </c>
      <c r="D3" s="2">
        <v>0.3</v>
      </c>
      <c r="E3" s="2">
        <v>53.3</v>
      </c>
      <c r="F3" s="2">
        <v>31.5</v>
      </c>
      <c r="H3" s="14" t="s">
        <v>39</v>
      </c>
      <c r="I3">
        <v>19.053333333333335</v>
      </c>
      <c r="J3" s="14" t="s">
        <v>39</v>
      </c>
      <c r="K3">
        <v>1.2266666666666668</v>
      </c>
      <c r="L3" s="14" t="s">
        <v>39</v>
      </c>
      <c r="M3">
        <v>18.233333333333334</v>
      </c>
      <c r="N3" s="14" t="s">
        <v>39</v>
      </c>
      <c r="O3">
        <v>42.706666666666663</v>
      </c>
      <c r="P3" s="14" t="s">
        <v>39</v>
      </c>
      <c r="Q3">
        <v>37.946666666666673</v>
      </c>
    </row>
    <row r="4" spans="1:17" x14ac:dyDescent="0.25">
      <c r="A4" s="2" t="s">
        <v>13</v>
      </c>
      <c r="B4" s="2">
        <v>14.2</v>
      </c>
      <c r="C4" s="2">
        <v>18.3</v>
      </c>
      <c r="D4" s="2">
        <v>0</v>
      </c>
      <c r="E4" s="2">
        <v>45.4</v>
      </c>
      <c r="F4" s="2">
        <v>39.200000000000003</v>
      </c>
      <c r="H4" t="s">
        <v>40</v>
      </c>
      <c r="I4">
        <v>0.77936889405201948</v>
      </c>
      <c r="J4" t="s">
        <v>40</v>
      </c>
      <c r="K4">
        <v>0.22092159062968295</v>
      </c>
      <c r="L4" t="s">
        <v>40</v>
      </c>
      <c r="M4">
        <v>0.86891649369537971</v>
      </c>
      <c r="N4" t="s">
        <v>40</v>
      </c>
      <c r="O4">
        <v>1.9596517345270665</v>
      </c>
      <c r="P4" t="s">
        <v>40</v>
      </c>
      <c r="Q4">
        <v>4.4070491873454865</v>
      </c>
    </row>
    <row r="5" spans="1:17" x14ac:dyDescent="0.25">
      <c r="A5" s="6" t="s">
        <v>6</v>
      </c>
      <c r="B5" s="6">
        <v>18</v>
      </c>
      <c r="C5" s="6">
        <v>16.2</v>
      </c>
      <c r="D5" s="6">
        <v>1.6</v>
      </c>
      <c r="E5" s="6">
        <v>36.4</v>
      </c>
      <c r="F5" s="6">
        <v>30.9</v>
      </c>
      <c r="H5" t="s">
        <v>41</v>
      </c>
      <c r="I5">
        <v>19.8</v>
      </c>
      <c r="J5" t="s">
        <v>41</v>
      </c>
      <c r="K5">
        <v>1.2</v>
      </c>
      <c r="L5" t="s">
        <v>41</v>
      </c>
      <c r="M5">
        <v>18.3</v>
      </c>
      <c r="N5" t="s">
        <v>41</v>
      </c>
      <c r="O5">
        <v>43.8</v>
      </c>
      <c r="P5" t="s">
        <v>41</v>
      </c>
      <c r="Q5">
        <v>32.9</v>
      </c>
    </row>
    <row r="6" spans="1:17" x14ac:dyDescent="0.25">
      <c r="A6" s="6" t="s">
        <v>9</v>
      </c>
      <c r="B6" s="6">
        <v>20.6</v>
      </c>
      <c r="C6" s="6">
        <v>22.6</v>
      </c>
      <c r="D6" s="6">
        <v>0.7</v>
      </c>
      <c r="E6" s="6">
        <v>45.8</v>
      </c>
      <c r="F6" s="6">
        <v>42</v>
      </c>
      <c r="H6" t="s">
        <v>42</v>
      </c>
      <c r="I6" t="e">
        <v>#N/A</v>
      </c>
      <c r="J6" t="s">
        <v>42</v>
      </c>
      <c r="K6">
        <v>0.6</v>
      </c>
      <c r="L6" t="s">
        <v>42</v>
      </c>
      <c r="M6">
        <v>21.1</v>
      </c>
      <c r="N6" t="s">
        <v>42</v>
      </c>
      <c r="O6">
        <v>49.3</v>
      </c>
      <c r="P6" t="s">
        <v>42</v>
      </c>
      <c r="Q6" t="e">
        <v>#N/A</v>
      </c>
    </row>
    <row r="7" spans="1:17" x14ac:dyDescent="0.25">
      <c r="A7" s="6" t="s">
        <v>11</v>
      </c>
      <c r="B7" s="6">
        <v>20.100000000000001</v>
      </c>
      <c r="C7" s="6">
        <v>14.6</v>
      </c>
      <c r="D7" s="6">
        <v>1.2</v>
      </c>
      <c r="E7" s="6">
        <v>42.5</v>
      </c>
      <c r="F7" s="6">
        <v>64</v>
      </c>
      <c r="H7" s="14" t="s">
        <v>43</v>
      </c>
      <c r="I7">
        <v>3.0184827472155642</v>
      </c>
      <c r="J7" s="14" t="s">
        <v>43</v>
      </c>
      <c r="K7">
        <v>0.85562564132641461</v>
      </c>
      <c r="L7" s="14" t="s">
        <v>43</v>
      </c>
      <c r="M7">
        <v>3.3652991093271476</v>
      </c>
      <c r="N7" s="14" t="s">
        <v>43</v>
      </c>
      <c r="O7">
        <v>7.5896985321898072</v>
      </c>
      <c r="P7" s="14" t="s">
        <v>43</v>
      </c>
      <c r="Q7">
        <v>17.068428108506001</v>
      </c>
    </row>
    <row r="8" spans="1:17" x14ac:dyDescent="0.25">
      <c r="A8" s="3" t="s">
        <v>0</v>
      </c>
      <c r="B8" s="3">
        <v>12.2</v>
      </c>
      <c r="C8" s="3">
        <v>15.9</v>
      </c>
      <c r="D8" s="3">
        <v>0.9</v>
      </c>
      <c r="E8" s="3">
        <v>23.8</v>
      </c>
      <c r="F8" s="3">
        <v>32.700000000000003</v>
      </c>
      <c r="H8" t="s">
        <v>44</v>
      </c>
      <c r="I8">
        <v>9.1112380952380203</v>
      </c>
      <c r="J8" t="s">
        <v>44</v>
      </c>
      <c r="K8">
        <v>0.73209523809523824</v>
      </c>
      <c r="L8" t="s">
        <v>44</v>
      </c>
      <c r="M8">
        <v>11.325238095238092</v>
      </c>
      <c r="N8" t="s">
        <v>44</v>
      </c>
      <c r="O8">
        <v>57.603523809524113</v>
      </c>
      <c r="P8" t="s">
        <v>44</v>
      </c>
      <c r="Q8">
        <v>291.33123809523778</v>
      </c>
    </row>
    <row r="9" spans="1:17" x14ac:dyDescent="0.25">
      <c r="A9" s="3" t="s">
        <v>4</v>
      </c>
      <c r="B9" s="3">
        <v>20.8</v>
      </c>
      <c r="C9" s="3">
        <v>18.5</v>
      </c>
      <c r="D9" s="3">
        <v>1.8</v>
      </c>
      <c r="E9" s="3">
        <v>38.200000000000003</v>
      </c>
      <c r="F9" s="3">
        <v>13.1</v>
      </c>
      <c r="H9" t="s">
        <v>45</v>
      </c>
      <c r="I9">
        <v>1.0837664416633856</v>
      </c>
      <c r="J9" t="s">
        <v>45</v>
      </c>
      <c r="K9">
        <v>-0.40739603106161582</v>
      </c>
      <c r="L9" t="s">
        <v>45</v>
      </c>
      <c r="M9">
        <v>-1.2389306466253203</v>
      </c>
      <c r="N9" t="s">
        <v>45</v>
      </c>
      <c r="O9">
        <v>1.3963854079050257</v>
      </c>
      <c r="P9" t="s">
        <v>45</v>
      </c>
      <c r="Q9">
        <v>1.8339065219492428</v>
      </c>
    </row>
    <row r="10" spans="1:17" x14ac:dyDescent="0.25">
      <c r="A10" s="3" t="s">
        <v>7</v>
      </c>
      <c r="B10" s="3">
        <v>18.399999999999999</v>
      </c>
      <c r="C10" s="3">
        <v>15.4</v>
      </c>
      <c r="D10" s="3">
        <v>1.6</v>
      </c>
      <c r="E10" s="3">
        <v>37.700000000000003</v>
      </c>
      <c r="F10" s="3">
        <v>33.4</v>
      </c>
      <c r="H10" t="s">
        <v>46</v>
      </c>
      <c r="I10">
        <v>-0.77707944309165544</v>
      </c>
      <c r="J10" t="s">
        <v>46</v>
      </c>
      <c r="K10">
        <v>0.51547464859953851</v>
      </c>
      <c r="L10" t="s">
        <v>46</v>
      </c>
      <c r="M10">
        <v>0.21961358315092924</v>
      </c>
      <c r="N10" t="s">
        <v>46</v>
      </c>
      <c r="O10">
        <v>-0.99280493774815914</v>
      </c>
      <c r="P10" t="s">
        <v>46</v>
      </c>
      <c r="Q10">
        <v>1.2931267815759104</v>
      </c>
    </row>
    <row r="11" spans="1:17" x14ac:dyDescent="0.25">
      <c r="A11" s="3" t="s">
        <v>8</v>
      </c>
      <c r="B11" s="3">
        <v>19.100000000000001</v>
      </c>
      <c r="C11" s="3">
        <v>14.4</v>
      </c>
      <c r="D11" s="3">
        <v>1.3</v>
      </c>
      <c r="E11" s="3">
        <v>34.799999999999997</v>
      </c>
      <c r="F11" s="3">
        <v>33.200000000000003</v>
      </c>
      <c r="H11" t="s">
        <v>47</v>
      </c>
      <c r="I11">
        <v>12.100000000000001</v>
      </c>
      <c r="J11" t="s">
        <v>47</v>
      </c>
      <c r="K11">
        <v>3</v>
      </c>
      <c r="L11" t="s">
        <v>47</v>
      </c>
      <c r="M11">
        <v>10.7</v>
      </c>
      <c r="N11" t="s">
        <v>47</v>
      </c>
      <c r="O11">
        <v>29.499999999999996</v>
      </c>
      <c r="P11" t="s">
        <v>47</v>
      </c>
      <c r="Q11">
        <v>67.400000000000006</v>
      </c>
    </row>
    <row r="12" spans="1:17" x14ac:dyDescent="0.25">
      <c r="A12" s="4" t="s">
        <v>1</v>
      </c>
      <c r="B12" s="4">
        <v>20.2</v>
      </c>
      <c r="C12" s="4">
        <v>13.2</v>
      </c>
      <c r="D12" s="4">
        <v>3</v>
      </c>
      <c r="E12" s="4">
        <v>46.4</v>
      </c>
      <c r="F12" s="4">
        <v>56</v>
      </c>
      <c r="H12" t="s">
        <v>48</v>
      </c>
      <c r="I12">
        <v>12.2</v>
      </c>
      <c r="J12" t="s">
        <v>48</v>
      </c>
      <c r="K12">
        <v>0</v>
      </c>
      <c r="L12" t="s">
        <v>48</v>
      </c>
      <c r="M12">
        <v>13.2</v>
      </c>
      <c r="N12" t="s">
        <v>48</v>
      </c>
      <c r="O12">
        <v>23.8</v>
      </c>
      <c r="P12" t="s">
        <v>48</v>
      </c>
      <c r="Q12">
        <v>13.1</v>
      </c>
    </row>
    <row r="13" spans="1:17" x14ac:dyDescent="0.25">
      <c r="A13" s="4" t="s">
        <v>2</v>
      </c>
      <c r="B13" s="4">
        <v>18.2</v>
      </c>
      <c r="C13" s="4">
        <v>19.3</v>
      </c>
      <c r="D13" s="4">
        <v>2.2999999999999998</v>
      </c>
      <c r="E13" s="4">
        <v>51.1</v>
      </c>
      <c r="F13" s="4">
        <v>32.9</v>
      </c>
      <c r="H13" t="s">
        <v>49</v>
      </c>
      <c r="I13">
        <v>24.3</v>
      </c>
      <c r="J13" t="s">
        <v>49</v>
      </c>
      <c r="K13">
        <v>3</v>
      </c>
      <c r="L13" t="s">
        <v>49</v>
      </c>
      <c r="M13">
        <v>23.9</v>
      </c>
      <c r="N13" t="s">
        <v>49</v>
      </c>
      <c r="O13">
        <v>53.3</v>
      </c>
      <c r="P13" t="s">
        <v>49</v>
      </c>
      <c r="Q13">
        <v>80.5</v>
      </c>
    </row>
    <row r="14" spans="1:17" x14ac:dyDescent="0.25">
      <c r="A14" s="4" t="s">
        <v>15</v>
      </c>
      <c r="B14" s="4">
        <v>22</v>
      </c>
      <c r="C14" s="4">
        <v>23.9</v>
      </c>
      <c r="D14" s="4">
        <v>2.2000000000000002</v>
      </c>
      <c r="E14" s="4">
        <v>49.3</v>
      </c>
      <c r="F14" s="4">
        <v>26.8</v>
      </c>
      <c r="H14" t="s">
        <v>50</v>
      </c>
      <c r="I14">
        <v>285.8</v>
      </c>
      <c r="J14" t="s">
        <v>50</v>
      </c>
      <c r="K14">
        <v>18.400000000000002</v>
      </c>
      <c r="L14" t="s">
        <v>50</v>
      </c>
      <c r="M14">
        <v>273.5</v>
      </c>
      <c r="N14" t="s">
        <v>50</v>
      </c>
      <c r="O14">
        <v>640.59999999999991</v>
      </c>
      <c r="P14" t="s">
        <v>50</v>
      </c>
      <c r="Q14">
        <v>569.20000000000005</v>
      </c>
    </row>
    <row r="15" spans="1:17" x14ac:dyDescent="0.25">
      <c r="A15" s="4" t="s">
        <v>18</v>
      </c>
      <c r="B15" s="4">
        <v>21.2</v>
      </c>
      <c r="C15" s="4">
        <v>16.7</v>
      </c>
      <c r="D15" s="4">
        <v>0.6</v>
      </c>
      <c r="E15" s="4">
        <v>43.8</v>
      </c>
      <c r="F15" s="4">
        <v>21.3</v>
      </c>
      <c r="H15" s="14" t="s">
        <v>51</v>
      </c>
      <c r="I15">
        <v>15</v>
      </c>
      <c r="J15" s="14" t="s">
        <v>51</v>
      </c>
      <c r="K15">
        <v>15</v>
      </c>
      <c r="L15" s="14" t="s">
        <v>51</v>
      </c>
      <c r="M15">
        <v>15</v>
      </c>
      <c r="N15" s="14" t="s">
        <v>51</v>
      </c>
      <c r="O15">
        <v>15</v>
      </c>
      <c r="P15" s="14" t="s">
        <v>51</v>
      </c>
      <c r="Q15">
        <v>15</v>
      </c>
    </row>
    <row r="16" spans="1:17" x14ac:dyDescent="0.25">
      <c r="H16" s="14" t="s">
        <v>52</v>
      </c>
      <c r="J16" s="14" t="s">
        <v>52</v>
      </c>
      <c r="L16" s="14" t="s">
        <v>52</v>
      </c>
      <c r="N16" s="14" t="s">
        <v>52</v>
      </c>
      <c r="P16" s="14" t="s">
        <v>52</v>
      </c>
    </row>
    <row r="17" spans="8:17" x14ac:dyDescent="0.25">
      <c r="H17" s="14" t="s">
        <v>53</v>
      </c>
      <c r="I17">
        <v>0.2</v>
      </c>
      <c r="J17" s="14" t="s">
        <v>53</v>
      </c>
      <c r="K17">
        <v>0.2</v>
      </c>
      <c r="L17" s="14" t="s">
        <v>53</v>
      </c>
      <c r="M17">
        <v>0.2</v>
      </c>
      <c r="N17" s="14" t="s">
        <v>53</v>
      </c>
      <c r="O17">
        <v>0.2</v>
      </c>
      <c r="P17" s="14" t="s">
        <v>53</v>
      </c>
      <c r="Q17">
        <v>0.2</v>
      </c>
    </row>
    <row r="18" spans="8:17" ht="15.75" thickBot="1" x14ac:dyDescent="0.3">
      <c r="H18" s="14" t="s">
        <v>54</v>
      </c>
      <c r="I18" s="12">
        <f>_xlfn.CONFIDENCE.NORM(I17,I7,I15)</f>
        <v>0.99880142630912949</v>
      </c>
      <c r="J18" s="14" t="s">
        <v>54</v>
      </c>
      <c r="K18">
        <f>_xlfn.CONFIDENCE.NORM(K17,K7,K15)</f>
        <v>0.28312241033407354</v>
      </c>
      <c r="L18" s="14" t="s">
        <v>54</v>
      </c>
      <c r="M18">
        <f>_xlfn.CONFIDENCE.NORM(M17,M7,M15)</f>
        <v>1.1135612928228389</v>
      </c>
      <c r="N18" s="14" t="s">
        <v>54</v>
      </c>
      <c r="O18">
        <f>_xlfn.CONFIDENCE.NORM(O17,O7,O14)</f>
        <v>0.38447722975334414</v>
      </c>
      <c r="P18" s="14" t="s">
        <v>54</v>
      </c>
      <c r="Q18">
        <f>_xlfn.CONFIDENCE.NORM(Q17,Q7,Q15)</f>
        <v>5.6478607854746681</v>
      </c>
    </row>
    <row r="19" spans="8:17" x14ac:dyDescent="0.25">
      <c r="H19" s="14" t="s">
        <v>55</v>
      </c>
      <c r="I19">
        <v>1.345</v>
      </c>
      <c r="J19" s="14" t="s">
        <v>55</v>
      </c>
      <c r="K19">
        <v>1.345</v>
      </c>
      <c r="L19" s="14" t="s">
        <v>55</v>
      </c>
      <c r="M19">
        <v>1.345</v>
      </c>
      <c r="N19" s="14" t="s">
        <v>55</v>
      </c>
      <c r="O19">
        <v>1.345</v>
      </c>
      <c r="P19" s="14" t="s">
        <v>55</v>
      </c>
      <c r="Q19">
        <v>1.345</v>
      </c>
    </row>
    <row r="20" spans="8:17" x14ac:dyDescent="0.25">
      <c r="H20" s="14" t="s">
        <v>56</v>
      </c>
      <c r="I20">
        <f>I3-I18</f>
        <v>18.054531907024206</v>
      </c>
      <c r="J20" s="14" t="s">
        <v>56</v>
      </c>
      <c r="K20">
        <f>K3-K18</f>
        <v>0.94354425633259331</v>
      </c>
      <c r="L20" s="14" t="s">
        <v>56</v>
      </c>
      <c r="M20">
        <f>M3-M18</f>
        <v>17.119772040510494</v>
      </c>
      <c r="N20" s="14" t="s">
        <v>56</v>
      </c>
      <c r="O20">
        <f>O3-O18</f>
        <v>42.32218943691332</v>
      </c>
      <c r="P20" s="14" t="s">
        <v>56</v>
      </c>
      <c r="Q20">
        <f>Q3-Q18</f>
        <v>32.298805881192003</v>
      </c>
    </row>
    <row r="21" spans="8:17" x14ac:dyDescent="0.25">
      <c r="H21" s="14" t="s">
        <v>57</v>
      </c>
      <c r="I21">
        <f>I3+I18</f>
        <v>20.052134759642463</v>
      </c>
      <c r="J21" s="14" t="s">
        <v>57</v>
      </c>
      <c r="K21">
        <f>K3+K18</f>
        <v>1.5097890770007403</v>
      </c>
      <c r="L21" s="14" t="s">
        <v>57</v>
      </c>
      <c r="M21">
        <f>M3+M18</f>
        <v>19.346894626156175</v>
      </c>
      <c r="N21" s="14" t="s">
        <v>57</v>
      </c>
      <c r="O21">
        <f>O3+O18</f>
        <v>43.091143896420007</v>
      </c>
      <c r="P21" s="14" t="s">
        <v>57</v>
      </c>
      <c r="Q21">
        <f>Q3+Q18</f>
        <v>43.594527452141342</v>
      </c>
    </row>
    <row r="22" spans="8:17" ht="30" x14ac:dyDescent="0.25">
      <c r="H22" s="15" t="s">
        <v>58</v>
      </c>
      <c r="J22" s="15" t="s">
        <v>58</v>
      </c>
      <c r="L22" s="15" t="s">
        <v>58</v>
      </c>
      <c r="N22" s="15" t="s">
        <v>58</v>
      </c>
      <c r="P22" s="15" t="s">
        <v>58</v>
      </c>
    </row>
    <row r="23" spans="8:17" x14ac:dyDescent="0.25">
      <c r="H23" s="14" t="s">
        <v>59</v>
      </c>
      <c r="J23" s="14" t="s">
        <v>59</v>
      </c>
      <c r="L23" s="14" t="s">
        <v>59</v>
      </c>
      <c r="N23" s="14" t="s">
        <v>59</v>
      </c>
      <c r="P23" s="14" t="s">
        <v>59</v>
      </c>
    </row>
    <row r="24" spans="8:17" x14ac:dyDescent="0.25">
      <c r="H24" s="14" t="s">
        <v>60</v>
      </c>
      <c r="I24">
        <v>0.1</v>
      </c>
      <c r="J24" s="14" t="s">
        <v>60</v>
      </c>
      <c r="K24">
        <v>0.1</v>
      </c>
      <c r="L24" s="14" t="s">
        <v>60</v>
      </c>
      <c r="M24">
        <v>0.1</v>
      </c>
      <c r="N24" s="14" t="s">
        <v>60</v>
      </c>
      <c r="O24">
        <v>0.1</v>
      </c>
      <c r="P24" s="14" t="s">
        <v>60</v>
      </c>
      <c r="Q24">
        <v>0.1</v>
      </c>
    </row>
    <row r="25" spans="8:17" x14ac:dyDescent="0.25">
      <c r="H25" s="14" t="s">
        <v>54</v>
      </c>
      <c r="I25">
        <f>_xlfn.CONFIDENCE.NORM(I24,I7,I15)</f>
        <v>1.2819477521146214</v>
      </c>
      <c r="J25" s="14" t="s">
        <v>54</v>
      </c>
      <c r="K25">
        <f>_xlfn.CONFIDENCE.NORM(K24,K7,K15)</f>
        <v>0.36338367961912221</v>
      </c>
      <c r="L25" s="14" t="s">
        <v>54</v>
      </c>
      <c r="M25">
        <f>_xlfn.CONFIDENCE.NORM(M24,M7,M15)</f>
        <v>1.4292404461728008</v>
      </c>
      <c r="N25" s="14" t="s">
        <v>54</v>
      </c>
      <c r="O25">
        <f>_xlfn.CONFIDENCE.NORM(O24,O7,O15)</f>
        <v>3.2233402630985877</v>
      </c>
      <c r="P25" s="14" t="s">
        <v>54</v>
      </c>
      <c r="Q25">
        <f>_xlfn.CONFIDENCE.NORM(Q24,Q7,Q15)</f>
        <v>7.2489508399587583</v>
      </c>
    </row>
    <row r="26" spans="8:17" x14ac:dyDescent="0.25">
      <c r="H26" s="14" t="s">
        <v>55</v>
      </c>
      <c r="I26">
        <v>1.7609999999999999</v>
      </c>
      <c r="J26" s="14" t="s">
        <v>55</v>
      </c>
      <c r="K26">
        <v>1.7609999999999999</v>
      </c>
      <c r="L26" s="14" t="s">
        <v>55</v>
      </c>
      <c r="M26">
        <v>1.7609999999999999</v>
      </c>
      <c r="N26" s="14" t="s">
        <v>55</v>
      </c>
      <c r="O26">
        <v>1.7609999999999999</v>
      </c>
      <c r="P26" s="14" t="s">
        <v>55</v>
      </c>
      <c r="Q26">
        <v>1.7609999999999999</v>
      </c>
    </row>
    <row r="27" spans="8:17" x14ac:dyDescent="0.25">
      <c r="H27" s="14" t="s">
        <v>56</v>
      </c>
      <c r="I27">
        <f>I3-I25</f>
        <v>17.771385581218713</v>
      </c>
      <c r="J27" s="14" t="s">
        <v>56</v>
      </c>
      <c r="K27">
        <f>K3-K25</f>
        <v>0.86328298704754458</v>
      </c>
      <c r="L27" s="14" t="s">
        <v>56</v>
      </c>
      <c r="M27">
        <f>M3-M25</f>
        <v>16.804092887160532</v>
      </c>
      <c r="N27" s="14" t="s">
        <v>56</v>
      </c>
      <c r="O27">
        <f>O3-O25</f>
        <v>39.483326403568078</v>
      </c>
      <c r="P27" s="14" t="s">
        <v>56</v>
      </c>
      <c r="Q27">
        <f>Q3-Q25</f>
        <v>30.697715826707913</v>
      </c>
    </row>
    <row r="28" spans="8:17" x14ac:dyDescent="0.25">
      <c r="H28" s="14" t="s">
        <v>57</v>
      </c>
      <c r="I28">
        <f>I3+I25</f>
        <v>20.335281085447956</v>
      </c>
      <c r="J28" s="14" t="s">
        <v>57</v>
      </c>
      <c r="K28">
        <f>K3+K25</f>
        <v>1.5900503462857891</v>
      </c>
      <c r="L28" s="14" t="s">
        <v>57</v>
      </c>
      <c r="M28">
        <f>M3+M25</f>
        <v>19.662573779506136</v>
      </c>
      <c r="N28" s="14" t="s">
        <v>57</v>
      </c>
      <c r="O28">
        <f>O3+O25</f>
        <v>45.930006929765248</v>
      </c>
      <c r="P28" s="14" t="s">
        <v>57</v>
      </c>
      <c r="Q28">
        <f>Q3+Q25</f>
        <v>45.195617506625432</v>
      </c>
    </row>
    <row r="29" spans="8:17" x14ac:dyDescent="0.25">
      <c r="H29" s="14" t="s">
        <v>61</v>
      </c>
      <c r="J29" s="14" t="s">
        <v>61</v>
      </c>
      <c r="L29" s="14" t="s">
        <v>61</v>
      </c>
      <c r="N29" s="14" t="s">
        <v>61</v>
      </c>
      <c r="P29" s="14" t="s">
        <v>61</v>
      </c>
    </row>
    <row r="30" spans="8:17" x14ac:dyDescent="0.25">
      <c r="H30" s="14" t="s">
        <v>62</v>
      </c>
      <c r="I30">
        <v>0.05</v>
      </c>
      <c r="J30" s="14" t="s">
        <v>62</v>
      </c>
      <c r="K30">
        <v>0.05</v>
      </c>
      <c r="L30" s="14" t="s">
        <v>62</v>
      </c>
      <c r="M30">
        <v>0.05</v>
      </c>
      <c r="N30" s="14" t="s">
        <v>62</v>
      </c>
      <c r="O30">
        <v>0.05</v>
      </c>
      <c r="P30" s="14" t="s">
        <v>62</v>
      </c>
      <c r="Q30">
        <v>0.05</v>
      </c>
    </row>
    <row r="31" spans="8:17" x14ac:dyDescent="0.25">
      <c r="H31" s="14" t="s">
        <v>54</v>
      </c>
      <c r="I31">
        <f>_xlfn.CONFIDENCE.NORM(I30,I7,I15)</f>
        <v>1.527534963012771</v>
      </c>
      <c r="J31" s="14" t="s">
        <v>54</v>
      </c>
      <c r="K31">
        <f>_xlfn.CONFIDENCE.NORM(K30,K7,K15)</f>
        <v>0.43299836104147993</v>
      </c>
      <c r="L31" s="14" t="s">
        <v>54</v>
      </c>
      <c r="M31">
        <f>_xlfn.CONFIDENCE.NORM(M30,M7,M15)</f>
        <v>1.7030450332157687</v>
      </c>
      <c r="N31" s="14" t="s">
        <v>54</v>
      </c>
      <c r="O31">
        <f>_xlfn.CONFIDENCE.NORM(O30,O7,O15)</f>
        <v>3.8408468219144969</v>
      </c>
      <c r="P31" s="14" t="s">
        <v>54</v>
      </c>
      <c r="Q31">
        <f>_xlfn.CONFIDENCE.NORM(Q30,Q7,Q15)</f>
        <v>8.6376576852936644</v>
      </c>
    </row>
    <row r="32" spans="8:17" x14ac:dyDescent="0.25">
      <c r="H32" s="14" t="s">
        <v>55</v>
      </c>
      <c r="I32">
        <v>2.145</v>
      </c>
      <c r="J32" s="14" t="s">
        <v>55</v>
      </c>
      <c r="K32">
        <v>2.145</v>
      </c>
      <c r="L32" s="14" t="s">
        <v>55</v>
      </c>
      <c r="M32">
        <v>2.145</v>
      </c>
      <c r="N32" s="14" t="s">
        <v>55</v>
      </c>
      <c r="O32">
        <v>2.145</v>
      </c>
      <c r="P32" s="14" t="s">
        <v>55</v>
      </c>
      <c r="Q32">
        <v>2.145</v>
      </c>
    </row>
    <row r="33" spans="8:17" x14ac:dyDescent="0.25">
      <c r="H33" s="14" t="s">
        <v>56</v>
      </c>
      <c r="I33">
        <f>I3-I31</f>
        <v>17.525798370320565</v>
      </c>
      <c r="J33" s="14" t="s">
        <v>56</v>
      </c>
      <c r="K33">
        <f>K3-K31</f>
        <v>0.79366830562518687</v>
      </c>
      <c r="L33" s="14" t="s">
        <v>56</v>
      </c>
      <c r="M33">
        <f>M3-M31</f>
        <v>16.530288300117565</v>
      </c>
      <c r="N33" s="14" t="s">
        <v>56</v>
      </c>
      <c r="O33">
        <f>O3-O31</f>
        <v>38.865819844752167</v>
      </c>
      <c r="P33" s="14" t="s">
        <v>56</v>
      </c>
      <c r="Q33">
        <f>Q3-Q31</f>
        <v>29.309008981373008</v>
      </c>
    </row>
    <row r="34" spans="8:17" x14ac:dyDescent="0.25">
      <c r="H34" s="14" t="s">
        <v>57</v>
      </c>
      <c r="I34">
        <f>I3+I31</f>
        <v>20.580868296346104</v>
      </c>
      <c r="J34" s="14" t="s">
        <v>57</v>
      </c>
      <c r="K34">
        <f>K3+K31</f>
        <v>1.6596650277081468</v>
      </c>
      <c r="L34" s="14" t="s">
        <v>57</v>
      </c>
      <c r="M34">
        <f>M3+M31</f>
        <v>19.936378366549103</v>
      </c>
      <c r="N34" s="14" t="s">
        <v>57</v>
      </c>
      <c r="O34">
        <f>O3+O31</f>
        <v>46.54751348858116</v>
      </c>
      <c r="P34" s="14" t="s">
        <v>57</v>
      </c>
      <c r="Q34">
        <f>Q3+Q31</f>
        <v>46.584324351960333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85" zoomScaleNormal="85" workbookViewId="0">
      <selection activeCell="D20" sqref="D20"/>
    </sheetView>
  </sheetViews>
  <sheetFormatPr defaultRowHeight="15" x14ac:dyDescent="0.25"/>
  <cols>
    <col min="1" max="1" width="12.42578125" customWidth="1"/>
    <col min="2" max="2" width="13.28515625" customWidth="1"/>
    <col min="3" max="3" width="17.28515625" customWidth="1"/>
    <col min="4" max="4" width="12.28515625" customWidth="1"/>
    <col min="5" max="5" width="17.140625" customWidth="1"/>
    <col min="8" max="8" width="23" customWidth="1"/>
    <col min="10" max="10" width="23" customWidth="1"/>
    <col min="11" max="11" width="9" customWidth="1"/>
    <col min="12" max="12" width="21.85546875" customWidth="1"/>
    <col min="13" max="13" width="9.42578125" customWidth="1"/>
    <col min="14" max="14" width="22.140625" customWidth="1"/>
    <col min="15" max="15" width="14.42578125" customWidth="1"/>
    <col min="16" max="16" width="24.140625" customWidth="1"/>
  </cols>
  <sheetData>
    <row r="1" spans="1:17" ht="49.5" customHeight="1" x14ac:dyDescent="0.25">
      <c r="A1" s="1">
        <v>2019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H1" s="13" t="s">
        <v>28</v>
      </c>
      <c r="I1" s="13"/>
      <c r="J1" s="13" t="s">
        <v>29</v>
      </c>
      <c r="K1" s="13"/>
      <c r="L1" s="13" t="s">
        <v>30</v>
      </c>
      <c r="M1" s="13"/>
      <c r="N1" s="13" t="s">
        <v>31</v>
      </c>
      <c r="O1" s="13"/>
      <c r="P1" s="13" t="s">
        <v>32</v>
      </c>
      <c r="Q1" s="13"/>
    </row>
    <row r="2" spans="1:17" x14ac:dyDescent="0.25">
      <c r="A2" s="2" t="s">
        <v>24</v>
      </c>
      <c r="B2" s="2">
        <v>4.9000000000000004</v>
      </c>
      <c r="C2" s="2">
        <v>14.7</v>
      </c>
      <c r="D2" s="2">
        <v>0.2</v>
      </c>
      <c r="E2" s="2">
        <v>48.2</v>
      </c>
      <c r="F2" s="2">
        <v>18.3</v>
      </c>
    </row>
    <row r="3" spans="1:17" x14ac:dyDescent="0.25">
      <c r="A3" s="2" t="s">
        <v>26</v>
      </c>
      <c r="B3" s="2">
        <v>3.5</v>
      </c>
      <c r="C3" s="2">
        <v>13.8</v>
      </c>
      <c r="D3" s="2">
        <v>0.2</v>
      </c>
      <c r="E3" s="2">
        <v>37.6</v>
      </c>
      <c r="F3" s="2">
        <v>11.8</v>
      </c>
      <c r="H3" s="14" t="s">
        <v>39</v>
      </c>
      <c r="I3">
        <v>13.426666666666668</v>
      </c>
      <c r="J3" s="14" t="s">
        <v>39</v>
      </c>
      <c r="K3">
        <v>17.233333333333334</v>
      </c>
      <c r="L3" s="14" t="s">
        <v>39</v>
      </c>
      <c r="M3">
        <v>0.8666666666666667</v>
      </c>
      <c r="N3" s="14" t="s">
        <v>39</v>
      </c>
      <c r="O3">
        <v>45.533333333333324</v>
      </c>
      <c r="P3" s="14" t="s">
        <v>39</v>
      </c>
      <c r="Q3">
        <v>34.120000000000005</v>
      </c>
    </row>
    <row r="4" spans="1:17" x14ac:dyDescent="0.25">
      <c r="A4" s="2" t="s">
        <v>3</v>
      </c>
      <c r="B4" s="2">
        <v>10.6</v>
      </c>
      <c r="C4" s="2">
        <v>15.9</v>
      </c>
      <c r="D4" s="2">
        <v>0.5</v>
      </c>
      <c r="E4" s="2">
        <v>47.6</v>
      </c>
      <c r="F4" s="2">
        <v>11.8</v>
      </c>
      <c r="H4" t="s">
        <v>40</v>
      </c>
      <c r="I4">
        <v>1.5897129620114767</v>
      </c>
      <c r="J4" t="s">
        <v>40</v>
      </c>
      <c r="K4">
        <v>1.1428730157627875</v>
      </c>
      <c r="L4" t="s">
        <v>40</v>
      </c>
      <c r="M4">
        <v>0.16261747890200617</v>
      </c>
      <c r="N4" t="s">
        <v>40</v>
      </c>
      <c r="O4">
        <v>2.3607235909813546</v>
      </c>
      <c r="P4" t="s">
        <v>40</v>
      </c>
      <c r="Q4">
        <v>5.4762361074703394</v>
      </c>
    </row>
    <row r="5" spans="1:17" x14ac:dyDescent="0.25">
      <c r="A5" s="6" t="s">
        <v>16</v>
      </c>
      <c r="B5" s="6">
        <v>16.899999999999999</v>
      </c>
      <c r="C5" s="6">
        <v>28.1</v>
      </c>
      <c r="D5" s="6">
        <v>1.4</v>
      </c>
      <c r="E5" s="6">
        <v>43.8</v>
      </c>
      <c r="F5" s="6">
        <v>56.7</v>
      </c>
      <c r="H5" t="s">
        <v>41</v>
      </c>
      <c r="I5">
        <v>13.3</v>
      </c>
      <c r="J5" t="s">
        <v>41</v>
      </c>
      <c r="K5">
        <v>16.7</v>
      </c>
      <c r="L5" t="s">
        <v>41</v>
      </c>
      <c r="M5">
        <v>0.7</v>
      </c>
      <c r="N5" t="s">
        <v>41</v>
      </c>
      <c r="O5">
        <v>43.8</v>
      </c>
      <c r="P5" t="s">
        <v>41</v>
      </c>
      <c r="Q5">
        <v>22.6</v>
      </c>
    </row>
    <row r="6" spans="1:17" x14ac:dyDescent="0.25">
      <c r="A6" s="6" t="s">
        <v>20</v>
      </c>
      <c r="B6" s="6">
        <v>12.2</v>
      </c>
      <c r="C6" s="6">
        <v>17.2</v>
      </c>
      <c r="D6" s="6">
        <v>2.4</v>
      </c>
      <c r="E6" s="6">
        <v>43.9</v>
      </c>
      <c r="F6" s="6">
        <v>47.2</v>
      </c>
      <c r="H6" t="s">
        <v>42</v>
      </c>
      <c r="I6" t="e">
        <v>#N/A</v>
      </c>
      <c r="J6" t="s">
        <v>42</v>
      </c>
      <c r="K6" t="e">
        <v>#N/A</v>
      </c>
      <c r="L6" t="s">
        <v>42</v>
      </c>
      <c r="M6">
        <v>0.3</v>
      </c>
      <c r="N6" t="s">
        <v>42</v>
      </c>
      <c r="O6">
        <v>43.8</v>
      </c>
      <c r="P6" t="s">
        <v>42</v>
      </c>
      <c r="Q6">
        <v>11.8</v>
      </c>
    </row>
    <row r="7" spans="1:17" x14ac:dyDescent="0.25">
      <c r="A7" s="6" t="s">
        <v>22</v>
      </c>
      <c r="B7" s="6">
        <v>15.4</v>
      </c>
      <c r="C7" s="6">
        <v>19.399999999999999</v>
      </c>
      <c r="D7" s="6">
        <v>0.7</v>
      </c>
      <c r="E7" s="6">
        <v>46</v>
      </c>
      <c r="F7" s="6">
        <v>22.6</v>
      </c>
      <c r="H7" s="14" t="s">
        <v>43</v>
      </c>
      <c r="I7">
        <v>6.1569318271205136</v>
      </c>
      <c r="J7" s="14" t="s">
        <v>43</v>
      </c>
      <c r="K7">
        <v>4.4263281568791228</v>
      </c>
      <c r="L7" s="14" t="s">
        <v>43</v>
      </c>
      <c r="M7">
        <v>0.62981478758970588</v>
      </c>
      <c r="N7" s="14" t="s">
        <v>43</v>
      </c>
      <c r="O7">
        <v>9.1430431528697564</v>
      </c>
      <c r="P7" s="14" t="s">
        <v>43</v>
      </c>
      <c r="Q7">
        <v>21.209371244132356</v>
      </c>
    </row>
    <row r="8" spans="1:17" x14ac:dyDescent="0.25">
      <c r="A8" s="3" t="s">
        <v>10</v>
      </c>
      <c r="B8" s="3">
        <v>16</v>
      </c>
      <c r="C8" s="3">
        <v>11.4</v>
      </c>
      <c r="D8" s="3">
        <v>1.2</v>
      </c>
      <c r="E8" s="3">
        <v>37.4</v>
      </c>
      <c r="F8" s="3">
        <v>45.2</v>
      </c>
      <c r="H8" t="s">
        <v>44</v>
      </c>
      <c r="I8">
        <v>37.907809523809547</v>
      </c>
      <c r="J8" t="s">
        <v>44</v>
      </c>
      <c r="K8">
        <v>19.592380952380932</v>
      </c>
      <c r="L8" t="s">
        <v>44</v>
      </c>
      <c r="M8">
        <v>0.39666666666666639</v>
      </c>
      <c r="N8" t="s">
        <v>44</v>
      </c>
      <c r="O8">
        <v>83.595238095238528</v>
      </c>
      <c r="P8" t="s">
        <v>44</v>
      </c>
      <c r="Q8">
        <v>449.83742857142846</v>
      </c>
    </row>
    <row r="9" spans="1:17" x14ac:dyDescent="0.25">
      <c r="A9" s="3" t="s">
        <v>14</v>
      </c>
      <c r="B9" s="3">
        <v>9.1</v>
      </c>
      <c r="C9" s="3">
        <v>16.100000000000001</v>
      </c>
      <c r="D9" s="3">
        <v>1</v>
      </c>
      <c r="E9" s="3">
        <v>54.3</v>
      </c>
      <c r="F9" s="3">
        <v>22.5</v>
      </c>
      <c r="H9" t="s">
        <v>45</v>
      </c>
      <c r="I9">
        <v>-0.60046467807484216</v>
      </c>
      <c r="J9" t="s">
        <v>45</v>
      </c>
      <c r="K9">
        <v>1.413270718667488</v>
      </c>
      <c r="L9" t="s">
        <v>45</v>
      </c>
      <c r="M9">
        <v>0.87803214369134874</v>
      </c>
      <c r="N9" t="s">
        <v>45</v>
      </c>
      <c r="O9">
        <v>4.242503239982315</v>
      </c>
      <c r="P9" t="s">
        <v>45</v>
      </c>
      <c r="Q9">
        <v>-5.4355564560051306E-2</v>
      </c>
    </row>
    <row r="10" spans="1:17" x14ac:dyDescent="0.25">
      <c r="A10" s="3" t="s">
        <v>17</v>
      </c>
      <c r="B10" s="3">
        <v>13.3</v>
      </c>
      <c r="C10" s="3">
        <v>14.1</v>
      </c>
      <c r="D10" s="3">
        <v>1.6</v>
      </c>
      <c r="E10" s="3">
        <v>51.4</v>
      </c>
      <c r="F10" s="3">
        <v>13.9</v>
      </c>
      <c r="H10" t="s">
        <v>46</v>
      </c>
      <c r="I10">
        <v>-6.8993667866472971E-2</v>
      </c>
      <c r="J10" t="s">
        <v>46</v>
      </c>
      <c r="K10">
        <v>0.81341586062898874</v>
      </c>
      <c r="L10" t="s">
        <v>46</v>
      </c>
      <c r="M10">
        <v>0.99922813331705307</v>
      </c>
      <c r="N10" t="s">
        <v>46</v>
      </c>
      <c r="O10">
        <v>1.5585200347514496</v>
      </c>
      <c r="P10" t="s">
        <v>46</v>
      </c>
      <c r="Q10">
        <v>0.92032049651325654</v>
      </c>
    </row>
    <row r="11" spans="1:17" x14ac:dyDescent="0.25">
      <c r="A11" s="3" t="s">
        <v>25</v>
      </c>
      <c r="B11" s="3">
        <v>4.7</v>
      </c>
      <c r="C11" s="3">
        <v>21.7</v>
      </c>
      <c r="D11" s="3">
        <v>0.3</v>
      </c>
      <c r="E11" s="3">
        <v>31.5</v>
      </c>
      <c r="F11" s="3">
        <v>20.6</v>
      </c>
      <c r="H11" t="s">
        <v>47</v>
      </c>
      <c r="I11">
        <v>20.8</v>
      </c>
      <c r="J11" t="s">
        <v>47</v>
      </c>
      <c r="K11">
        <v>17.600000000000001</v>
      </c>
      <c r="L11" t="s">
        <v>47</v>
      </c>
      <c r="M11">
        <v>2.1999999999999997</v>
      </c>
      <c r="N11" t="s">
        <v>47</v>
      </c>
      <c r="O11">
        <v>40</v>
      </c>
      <c r="P11" t="s">
        <v>47</v>
      </c>
      <c r="Q11">
        <v>68.7</v>
      </c>
    </row>
    <row r="12" spans="1:17" x14ac:dyDescent="0.25">
      <c r="A12" s="4" t="s">
        <v>18</v>
      </c>
      <c r="B12" s="4">
        <v>21.2</v>
      </c>
      <c r="C12" s="4">
        <v>16.7</v>
      </c>
      <c r="D12" s="4">
        <v>0.6</v>
      </c>
      <c r="E12" s="4">
        <v>43.8</v>
      </c>
      <c r="F12" s="4">
        <v>21.3</v>
      </c>
      <c r="H12" t="s">
        <v>48</v>
      </c>
      <c r="I12">
        <v>3.5</v>
      </c>
      <c r="J12" t="s">
        <v>48</v>
      </c>
      <c r="K12">
        <v>10.5</v>
      </c>
      <c r="L12" t="s">
        <v>48</v>
      </c>
      <c r="M12">
        <v>0.2</v>
      </c>
      <c r="N12" t="s">
        <v>48</v>
      </c>
      <c r="O12">
        <v>31.5</v>
      </c>
      <c r="P12" t="s">
        <v>48</v>
      </c>
      <c r="Q12">
        <v>11.8</v>
      </c>
    </row>
    <row r="13" spans="1:17" x14ac:dyDescent="0.25">
      <c r="A13" s="4" t="s">
        <v>19</v>
      </c>
      <c r="B13" s="4">
        <v>13.2</v>
      </c>
      <c r="C13" s="4">
        <v>18.5</v>
      </c>
      <c r="D13" s="4">
        <v>0.3</v>
      </c>
      <c r="E13" s="4">
        <v>41.8</v>
      </c>
      <c r="F13" s="4">
        <v>39.6</v>
      </c>
      <c r="H13" t="s">
        <v>49</v>
      </c>
      <c r="I13">
        <v>24.3</v>
      </c>
      <c r="J13" t="s">
        <v>49</v>
      </c>
      <c r="K13">
        <v>28.1</v>
      </c>
      <c r="L13" t="s">
        <v>49</v>
      </c>
      <c r="M13">
        <v>2.4</v>
      </c>
      <c r="N13" t="s">
        <v>49</v>
      </c>
      <c r="O13">
        <v>71.5</v>
      </c>
      <c r="P13" t="s">
        <v>49</v>
      </c>
      <c r="Q13">
        <v>80.5</v>
      </c>
    </row>
    <row r="14" spans="1:17" x14ac:dyDescent="0.25">
      <c r="A14" s="4" t="s">
        <v>21</v>
      </c>
      <c r="B14" s="4">
        <v>15.7</v>
      </c>
      <c r="C14" s="4">
        <v>10.5</v>
      </c>
      <c r="D14" s="4">
        <v>1.2</v>
      </c>
      <c r="E14" s="4">
        <v>71.5</v>
      </c>
      <c r="F14" s="4">
        <v>66.400000000000006</v>
      </c>
      <c r="H14" t="s">
        <v>50</v>
      </c>
      <c r="I14">
        <v>201.4</v>
      </c>
      <c r="J14" t="s">
        <v>50</v>
      </c>
      <c r="K14">
        <v>258.5</v>
      </c>
      <c r="L14" t="s">
        <v>50</v>
      </c>
      <c r="M14">
        <v>13</v>
      </c>
      <c r="N14" t="s">
        <v>50</v>
      </c>
      <c r="O14">
        <v>682.99999999999989</v>
      </c>
      <c r="P14" t="s">
        <v>50</v>
      </c>
      <c r="Q14">
        <v>511.80000000000007</v>
      </c>
    </row>
    <row r="15" spans="1:17" x14ac:dyDescent="0.25">
      <c r="A15" s="4" t="s">
        <v>23</v>
      </c>
      <c r="B15" s="4">
        <v>20.399999999999999</v>
      </c>
      <c r="C15" s="4">
        <v>19.3</v>
      </c>
      <c r="D15" s="4">
        <v>1.1000000000000001</v>
      </c>
      <c r="E15" s="4">
        <v>41.4</v>
      </c>
      <c r="F15" s="4">
        <v>33.4</v>
      </c>
      <c r="H15" s="14" t="s">
        <v>51</v>
      </c>
      <c r="I15">
        <v>15</v>
      </c>
      <c r="J15" s="14" t="s">
        <v>51</v>
      </c>
      <c r="K15">
        <v>15</v>
      </c>
      <c r="L15" s="14" t="s">
        <v>51</v>
      </c>
      <c r="M15">
        <v>15</v>
      </c>
      <c r="N15" s="14" t="s">
        <v>51</v>
      </c>
      <c r="O15">
        <v>15</v>
      </c>
      <c r="P15" s="14" t="s">
        <v>51</v>
      </c>
      <c r="Q15">
        <v>15</v>
      </c>
    </row>
    <row r="16" spans="1:17" x14ac:dyDescent="0.25">
      <c r="H16" s="14" t="s">
        <v>52</v>
      </c>
      <c r="J16" s="14" t="s">
        <v>52</v>
      </c>
      <c r="L16" s="14" t="s">
        <v>52</v>
      </c>
      <c r="N16" s="14" t="s">
        <v>52</v>
      </c>
      <c r="P16" s="14" t="s">
        <v>52</v>
      </c>
    </row>
    <row r="17" spans="8:17" x14ac:dyDescent="0.25">
      <c r="H17" s="14" t="s">
        <v>53</v>
      </c>
      <c r="I17">
        <v>0.2</v>
      </c>
      <c r="J17" s="14" t="s">
        <v>53</v>
      </c>
      <c r="K17">
        <v>0.2</v>
      </c>
      <c r="L17" s="14" t="s">
        <v>53</v>
      </c>
      <c r="M17">
        <v>0.2</v>
      </c>
      <c r="N17" s="14" t="s">
        <v>53</v>
      </c>
      <c r="O17">
        <v>0.2</v>
      </c>
      <c r="P17" s="14" t="s">
        <v>53</v>
      </c>
      <c r="Q17">
        <v>0.2</v>
      </c>
    </row>
    <row r="18" spans="8:17" x14ac:dyDescent="0.25">
      <c r="H18" s="14" t="s">
        <v>54</v>
      </c>
      <c r="I18">
        <f>_xlfn.CONFIDENCE.NORM(I17,I7,I15)</f>
        <v>2.037299135232352</v>
      </c>
      <c r="J18" s="14" t="s">
        <v>54</v>
      </c>
      <c r="K18">
        <f>_xlfn.CONFIDENCE.NORM(K17,K7,K15)</f>
        <v>1.4646507025694793</v>
      </c>
      <c r="L18" s="14" t="s">
        <v>54</v>
      </c>
      <c r="M18">
        <f>_xlfn.CONFIDENCE.NORM(M17,M7,M15)</f>
        <v>0.20840268467178208</v>
      </c>
      <c r="N18" s="14" t="s">
        <v>54</v>
      </c>
      <c r="O18">
        <f>_xlfn.CONFIDENCE.NORM(O17,O7,O15)</f>
        <v>3.0253890138402264</v>
      </c>
      <c r="P18" s="14" t="s">
        <v>54</v>
      </c>
      <c r="Q18">
        <f>_xlfn.CONFIDENCE.NORM(Q17,Q7,Q15)</f>
        <v>7.0180789568204833</v>
      </c>
    </row>
    <row r="19" spans="8:17" x14ac:dyDescent="0.25">
      <c r="H19" s="14" t="s">
        <v>55</v>
      </c>
      <c r="I19">
        <v>1.345</v>
      </c>
      <c r="J19" s="14" t="s">
        <v>55</v>
      </c>
      <c r="K19">
        <v>1.345</v>
      </c>
      <c r="L19" s="14" t="s">
        <v>55</v>
      </c>
      <c r="M19">
        <v>1.345</v>
      </c>
      <c r="N19" s="14" t="s">
        <v>55</v>
      </c>
      <c r="O19">
        <v>1.345</v>
      </c>
      <c r="P19" s="14" t="s">
        <v>55</v>
      </c>
      <c r="Q19">
        <v>1.345</v>
      </c>
    </row>
    <row r="20" spans="8:17" x14ac:dyDescent="0.25">
      <c r="H20" s="14" t="s">
        <v>56</v>
      </c>
      <c r="I20">
        <f>I3-I18</f>
        <v>11.389367531434315</v>
      </c>
      <c r="J20" s="14" t="s">
        <v>56</v>
      </c>
      <c r="K20">
        <f>K3-K18</f>
        <v>15.768682630763855</v>
      </c>
      <c r="L20" s="14" t="s">
        <v>56</v>
      </c>
      <c r="M20">
        <f>M3-M18</f>
        <v>0.65826398199488456</v>
      </c>
      <c r="N20" s="14" t="s">
        <v>56</v>
      </c>
      <c r="O20">
        <f>O3-O18</f>
        <v>42.507944319493099</v>
      </c>
      <c r="P20" s="14" t="s">
        <v>56</v>
      </c>
      <c r="Q20">
        <f>Q3-Q18</f>
        <v>27.101921043179523</v>
      </c>
    </row>
    <row r="21" spans="8:17" x14ac:dyDescent="0.25">
      <c r="H21" s="14" t="s">
        <v>57</v>
      </c>
      <c r="I21">
        <f>I3+I18</f>
        <v>15.46396580189902</v>
      </c>
      <c r="J21" s="14" t="s">
        <v>57</v>
      </c>
      <c r="K21">
        <f>K3+K18</f>
        <v>18.697984035902813</v>
      </c>
      <c r="L21" s="14" t="s">
        <v>57</v>
      </c>
      <c r="M21">
        <f>M3+M18</f>
        <v>1.0750693513384488</v>
      </c>
      <c r="N21" s="14" t="s">
        <v>57</v>
      </c>
      <c r="O21">
        <f>O3+O18</f>
        <v>48.55872234717355</v>
      </c>
      <c r="P21" s="14" t="s">
        <v>57</v>
      </c>
      <c r="Q21">
        <f>Q3+Q18</f>
        <v>41.138078956820486</v>
      </c>
    </row>
    <row r="22" spans="8:17" ht="30" x14ac:dyDescent="0.25">
      <c r="H22" s="15" t="s">
        <v>58</v>
      </c>
      <c r="J22" s="15" t="s">
        <v>58</v>
      </c>
      <c r="L22" s="15" t="s">
        <v>58</v>
      </c>
      <c r="N22" s="15" t="s">
        <v>58</v>
      </c>
      <c r="P22" s="15" t="s">
        <v>58</v>
      </c>
    </row>
    <row r="23" spans="8:17" x14ac:dyDescent="0.25">
      <c r="H23" s="14" t="s">
        <v>59</v>
      </c>
      <c r="J23" s="14" t="s">
        <v>59</v>
      </c>
      <c r="L23" s="14" t="s">
        <v>59</v>
      </c>
      <c r="N23" s="14" t="s">
        <v>59</v>
      </c>
      <c r="P23" s="14" t="s">
        <v>59</v>
      </c>
    </row>
    <row r="24" spans="8:17" x14ac:dyDescent="0.25">
      <c r="H24" s="14" t="s">
        <v>60</v>
      </c>
      <c r="I24">
        <v>0.1</v>
      </c>
      <c r="J24" s="14" t="s">
        <v>60</v>
      </c>
      <c r="K24">
        <v>0.1</v>
      </c>
      <c r="L24" s="14" t="s">
        <v>60</v>
      </c>
      <c r="M24">
        <v>0.1</v>
      </c>
      <c r="N24" s="14" t="s">
        <v>60</v>
      </c>
      <c r="O24">
        <v>0.1</v>
      </c>
      <c r="P24" s="14" t="s">
        <v>60</v>
      </c>
      <c r="Q24">
        <v>0.1</v>
      </c>
    </row>
    <row r="25" spans="8:17" x14ac:dyDescent="0.25">
      <c r="H25" s="14" t="s">
        <v>54</v>
      </c>
      <c r="I25">
        <f>_xlfn.CONFIDENCE.NORM(I24,I7,I15)</f>
        <v>2.6148451313763443</v>
      </c>
      <c r="J25" s="14" t="s">
        <v>54</v>
      </c>
      <c r="K25">
        <f>_xlfn.CONFIDENCE.NORM(K24,K7,K15)</f>
        <v>1.8798588251223873</v>
      </c>
      <c r="L25" s="14" t="s">
        <v>54</v>
      </c>
      <c r="M25">
        <f>_xlfn.CONFIDENCE.NORM(M24,M7,M15)</f>
        <v>0.26748194997766928</v>
      </c>
      <c r="N25" s="14" t="s">
        <v>54</v>
      </c>
      <c r="O25">
        <f>_xlfn.CONFIDENCE.NORM(O24,O7,O15)</f>
        <v>3.8830447608555834</v>
      </c>
      <c r="P25" s="14" t="s">
        <v>54</v>
      </c>
      <c r="Q25">
        <f>_xlfn.CONFIDENCE.NORM(Q24,Q7,Q15)</f>
        <v>9.0076068234151965</v>
      </c>
    </row>
    <row r="26" spans="8:17" x14ac:dyDescent="0.25">
      <c r="H26" s="14" t="s">
        <v>55</v>
      </c>
      <c r="I26">
        <v>1.7609999999999999</v>
      </c>
      <c r="J26" s="14" t="s">
        <v>55</v>
      </c>
      <c r="K26">
        <v>1.7609999999999999</v>
      </c>
      <c r="L26" s="14" t="s">
        <v>55</v>
      </c>
      <c r="M26">
        <v>1.7609999999999999</v>
      </c>
      <c r="N26" s="14" t="s">
        <v>55</v>
      </c>
      <c r="O26">
        <v>1.7609999999999999</v>
      </c>
      <c r="P26" s="14" t="s">
        <v>55</v>
      </c>
      <c r="Q26">
        <v>1.7609999999999999</v>
      </c>
    </row>
    <row r="27" spans="8:17" x14ac:dyDescent="0.25">
      <c r="H27" s="14" t="s">
        <v>56</v>
      </c>
      <c r="I27">
        <f>I3-I25</f>
        <v>10.811821535290324</v>
      </c>
      <c r="J27" s="14" t="s">
        <v>56</v>
      </c>
      <c r="K27">
        <f>K3-K25</f>
        <v>15.353474508210947</v>
      </c>
      <c r="L27" s="14" t="s">
        <v>56</v>
      </c>
      <c r="M27">
        <f>M3-M25</f>
        <v>0.59918471668899742</v>
      </c>
      <c r="N27" s="14" t="s">
        <v>56</v>
      </c>
      <c r="O27">
        <f>O3-O25</f>
        <v>41.650288572477741</v>
      </c>
      <c r="P27" s="14" t="s">
        <v>56</v>
      </c>
      <c r="Q27">
        <f>Q3-Q25</f>
        <v>25.11239317658481</v>
      </c>
    </row>
    <row r="28" spans="8:17" x14ac:dyDescent="0.25">
      <c r="H28" s="14" t="s">
        <v>57</v>
      </c>
      <c r="I28">
        <f>I3+I25</f>
        <v>16.041511798043011</v>
      </c>
      <c r="J28" s="14" t="s">
        <v>57</v>
      </c>
      <c r="K28">
        <f>K25+K3</f>
        <v>19.113192158455721</v>
      </c>
      <c r="L28" s="14" t="s">
        <v>57</v>
      </c>
      <c r="M28">
        <f>M25+M3</f>
        <v>1.134148616644336</v>
      </c>
      <c r="N28" s="14" t="s">
        <v>57</v>
      </c>
      <c r="O28">
        <f>O3+O25</f>
        <v>49.416378094188907</v>
      </c>
      <c r="P28" s="14" t="s">
        <v>57</v>
      </c>
      <c r="Q28">
        <f>Q25+Q3</f>
        <v>43.127606823415199</v>
      </c>
    </row>
    <row r="29" spans="8:17" x14ac:dyDescent="0.25">
      <c r="H29" s="14" t="s">
        <v>61</v>
      </c>
      <c r="J29" s="14" t="s">
        <v>61</v>
      </c>
      <c r="L29" s="14" t="s">
        <v>61</v>
      </c>
      <c r="N29" s="14" t="s">
        <v>61</v>
      </c>
      <c r="P29" s="14" t="s">
        <v>61</v>
      </c>
    </row>
    <row r="30" spans="8:17" x14ac:dyDescent="0.25">
      <c r="H30" s="14" t="s">
        <v>62</v>
      </c>
      <c r="I30">
        <v>0.05</v>
      </c>
      <c r="J30" s="14" t="s">
        <v>62</v>
      </c>
      <c r="K30">
        <v>0.05</v>
      </c>
      <c r="L30" s="14" t="s">
        <v>62</v>
      </c>
      <c r="M30">
        <v>0.05</v>
      </c>
      <c r="N30" s="14" t="s">
        <v>62</v>
      </c>
      <c r="O30">
        <v>0.05</v>
      </c>
      <c r="P30" s="14" t="s">
        <v>62</v>
      </c>
      <c r="Q30">
        <v>0.05</v>
      </c>
    </row>
    <row r="31" spans="8:17" x14ac:dyDescent="0.25">
      <c r="H31" s="14" t="s">
        <v>54</v>
      </c>
      <c r="I31">
        <f>_xlfn.CONFIDENCE.NORM(I30,I7,I15)</f>
        <v>3.1157801512989849</v>
      </c>
      <c r="J31" s="14" t="s">
        <v>54</v>
      </c>
      <c r="K31">
        <f>_xlfn.CONFIDENCE.NORM(K30,K7,K15)</f>
        <v>2.2399899497977405</v>
      </c>
      <c r="L31" s="14" t="s">
        <v>54</v>
      </c>
      <c r="M31">
        <f>_xlfn.CONFIDENCE.NORM(M30,M7,M15)</f>
        <v>0.31872440190463414</v>
      </c>
      <c r="N31" s="14" t="s">
        <v>54</v>
      </c>
      <c r="O31">
        <f>_xlfn.CONFIDENCE.NORM(O30,O7,O15)</f>
        <v>4.6269332157775196</v>
      </c>
      <c r="P31" s="14" t="s">
        <v>54</v>
      </c>
      <c r="Q31">
        <f>_xlfn.CONFIDENCE.NORM(Q30,Q7,Q15)</f>
        <v>10.73322554147968</v>
      </c>
    </row>
    <row r="32" spans="8:17" x14ac:dyDescent="0.25">
      <c r="H32" s="14" t="s">
        <v>55</v>
      </c>
      <c r="I32">
        <v>2.145</v>
      </c>
      <c r="J32" s="14" t="s">
        <v>55</v>
      </c>
      <c r="K32">
        <v>2.145</v>
      </c>
      <c r="L32" s="14" t="s">
        <v>55</v>
      </c>
      <c r="M32">
        <v>2.145</v>
      </c>
      <c r="N32" s="14" t="s">
        <v>55</v>
      </c>
      <c r="O32">
        <v>2.145</v>
      </c>
      <c r="P32" s="14" t="s">
        <v>55</v>
      </c>
      <c r="Q32">
        <v>2.145</v>
      </c>
    </row>
    <row r="33" spans="8:17" x14ac:dyDescent="0.25">
      <c r="H33" s="14" t="s">
        <v>56</v>
      </c>
      <c r="I33">
        <f>I3-I31</f>
        <v>10.310886515367683</v>
      </c>
      <c r="J33" s="14" t="s">
        <v>56</v>
      </c>
      <c r="K33">
        <f>K3-K31</f>
        <v>14.993343383535594</v>
      </c>
      <c r="L33" s="14" t="s">
        <v>56</v>
      </c>
      <c r="M33">
        <f>M3-M31</f>
        <v>0.54794226476203256</v>
      </c>
      <c r="N33" s="14" t="s">
        <v>56</v>
      </c>
      <c r="O33">
        <f>O3-O31</f>
        <v>40.906400117555805</v>
      </c>
      <c r="P33" s="14" t="s">
        <v>56</v>
      </c>
      <c r="Q33">
        <f>Q3-Q31</f>
        <v>23.386774458520325</v>
      </c>
    </row>
    <row r="34" spans="8:17" x14ac:dyDescent="0.25">
      <c r="H34" s="14" t="s">
        <v>57</v>
      </c>
      <c r="I34">
        <f>I3+I31</f>
        <v>16.542446817965654</v>
      </c>
      <c r="J34" s="14" t="s">
        <v>57</v>
      </c>
      <c r="K34">
        <f>K31+K3</f>
        <v>19.473323283131073</v>
      </c>
      <c r="L34" s="14" t="s">
        <v>57</v>
      </c>
      <c r="M34">
        <f>M31+M3</f>
        <v>1.1853910685713007</v>
      </c>
      <c r="N34" s="14" t="s">
        <v>57</v>
      </c>
      <c r="O34">
        <f>O31+O3</f>
        <v>50.160266549110844</v>
      </c>
      <c r="P34" s="14" t="s">
        <v>57</v>
      </c>
      <c r="Q34">
        <f>Q31+Q3</f>
        <v>44.853225541479688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12" sqref="B12"/>
    </sheetView>
  </sheetViews>
  <sheetFormatPr defaultRowHeight="15" x14ac:dyDescent="0.25"/>
  <cols>
    <col min="1" max="1" width="14.28515625" customWidth="1"/>
  </cols>
  <sheetData>
    <row r="1" spans="1:5" x14ac:dyDescent="0.25">
      <c r="A1" t="s">
        <v>80</v>
      </c>
    </row>
    <row r="2" spans="1:5" ht="15.75" thickBot="1" x14ac:dyDescent="0.3"/>
    <row r="3" spans="1:5" x14ac:dyDescent="0.25">
      <c r="A3" s="48"/>
      <c r="B3" s="48" t="s">
        <v>81</v>
      </c>
      <c r="C3" s="48" t="s">
        <v>82</v>
      </c>
    </row>
    <row r="4" spans="1:5" x14ac:dyDescent="0.25">
      <c r="A4" t="s">
        <v>39</v>
      </c>
      <c r="B4">
        <v>18.678571428571427</v>
      </c>
      <c r="C4">
        <v>18.028571428571428</v>
      </c>
    </row>
    <row r="5" spans="1:5" x14ac:dyDescent="0.25">
      <c r="A5" t="s">
        <v>72</v>
      </c>
      <c r="B5">
        <v>7.5433516483516048</v>
      </c>
      <c r="C5">
        <v>11.519120879120866</v>
      </c>
    </row>
    <row r="6" spans="1:5" x14ac:dyDescent="0.25">
      <c r="A6" t="s">
        <v>83</v>
      </c>
      <c r="B6">
        <v>14</v>
      </c>
      <c r="C6">
        <v>14</v>
      </c>
    </row>
    <row r="7" spans="1:5" x14ac:dyDescent="0.25">
      <c r="A7" t="s">
        <v>84</v>
      </c>
      <c r="B7">
        <v>0</v>
      </c>
    </row>
    <row r="8" spans="1:5" x14ac:dyDescent="0.25">
      <c r="A8" t="s">
        <v>85</v>
      </c>
      <c r="B8">
        <v>25</v>
      </c>
    </row>
    <row r="9" spans="1:5" x14ac:dyDescent="0.25">
      <c r="A9" t="s">
        <v>86</v>
      </c>
      <c r="B9">
        <v>0.5570417660817476</v>
      </c>
    </row>
    <row r="10" spans="1:5" x14ac:dyDescent="0.25">
      <c r="A10" t="s">
        <v>87</v>
      </c>
      <c r="B10">
        <v>0.29122606182313271</v>
      </c>
    </row>
    <row r="11" spans="1:5" x14ac:dyDescent="0.25">
      <c r="A11" t="s">
        <v>88</v>
      </c>
      <c r="B11">
        <v>1.7081407612518986</v>
      </c>
    </row>
    <row r="12" spans="1:5" x14ac:dyDescent="0.25">
      <c r="A12" t="s">
        <v>89</v>
      </c>
      <c r="B12">
        <v>0.58245212364626542</v>
      </c>
    </row>
    <row r="13" spans="1:5" ht="15.75" thickBot="1" x14ac:dyDescent="0.3">
      <c r="A13" s="12" t="s">
        <v>90</v>
      </c>
      <c r="B13" s="12">
        <v>2.0595385527532977</v>
      </c>
      <c r="C13" s="12"/>
    </row>
    <row r="14" spans="1:5" x14ac:dyDescent="0.25">
      <c r="E14" t="s">
        <v>79</v>
      </c>
    </row>
    <row r="15" spans="1:5" x14ac:dyDescent="0.25">
      <c r="B15" t="s">
        <v>93</v>
      </c>
    </row>
    <row r="16" spans="1:5" x14ac:dyDescent="0.25">
      <c r="B16" t="s">
        <v>97</v>
      </c>
    </row>
    <row r="18" spans="2:2" x14ac:dyDescent="0.25">
      <c r="B18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9:L19"/>
  <sheetViews>
    <sheetView zoomScale="85" workbookViewId="0">
      <selection activeCell="R16" sqref="R16"/>
    </sheetView>
  </sheetViews>
  <sheetFormatPr defaultRowHeight="15" x14ac:dyDescent="0.25"/>
  <cols>
    <col min="9" max="9" width="4.28515625" customWidth="1"/>
    <col min="10" max="10" width="15" customWidth="1"/>
    <col min="11" max="11" width="15.7109375" customWidth="1"/>
  </cols>
  <sheetData>
    <row r="9" spans="12:12" x14ac:dyDescent="0.25">
      <c r="L9" t="s">
        <v>94</v>
      </c>
    </row>
    <row r="19" spans="11:11" x14ac:dyDescent="0.25">
      <c r="K19" t="s">
        <v>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V20"/>
  <sheetViews>
    <sheetView zoomScale="74" workbookViewId="0">
      <selection activeCell="U7" sqref="U7:V17"/>
    </sheetView>
  </sheetViews>
  <sheetFormatPr defaultRowHeight="15" x14ac:dyDescent="0.25"/>
  <cols>
    <col min="9" max="9" width="4.28515625" customWidth="1"/>
    <col min="10" max="10" width="15" customWidth="1"/>
    <col min="11" max="11" width="15.7109375" customWidth="1"/>
  </cols>
  <sheetData>
    <row r="5" spans="3:22" ht="75" x14ac:dyDescent="0.25">
      <c r="C5" s="1" t="s">
        <v>28</v>
      </c>
      <c r="D5" t="s">
        <v>95</v>
      </c>
      <c r="U5" t="s">
        <v>80</v>
      </c>
    </row>
    <row r="6" spans="3:22" ht="15.75" thickBot="1" x14ac:dyDescent="0.3">
      <c r="C6" s="2">
        <v>4.9000000000000004</v>
      </c>
      <c r="D6">
        <v>0</v>
      </c>
    </row>
    <row r="7" spans="3:22" x14ac:dyDescent="0.25">
      <c r="C7" s="2">
        <v>3.5</v>
      </c>
      <c r="D7">
        <v>0</v>
      </c>
      <c r="U7" s="48"/>
      <c r="V7" s="48" t="s">
        <v>28</v>
      </c>
    </row>
    <row r="8" spans="3:22" x14ac:dyDescent="0.25">
      <c r="C8" s="2">
        <v>10.6</v>
      </c>
      <c r="U8" t="s">
        <v>39</v>
      </c>
      <c r="V8">
        <v>13.426666666666668</v>
      </c>
    </row>
    <row r="9" spans="3:22" x14ac:dyDescent="0.25">
      <c r="C9" s="6">
        <v>16.899999999999999</v>
      </c>
      <c r="L9" t="s">
        <v>96</v>
      </c>
      <c r="U9" t="s">
        <v>72</v>
      </c>
      <c r="V9">
        <v>37.907809523809547</v>
      </c>
    </row>
    <row r="10" spans="3:22" x14ac:dyDescent="0.25">
      <c r="C10" s="6">
        <v>12.2</v>
      </c>
      <c r="U10" t="s">
        <v>83</v>
      </c>
      <c r="V10">
        <v>15</v>
      </c>
    </row>
    <row r="11" spans="3:22" x14ac:dyDescent="0.25">
      <c r="C11" s="6">
        <v>15.4</v>
      </c>
      <c r="U11" t="s">
        <v>84</v>
      </c>
      <c r="V11">
        <v>18.55</v>
      </c>
    </row>
    <row r="12" spans="3:22" x14ac:dyDescent="0.25">
      <c r="C12" s="3">
        <v>16</v>
      </c>
      <c r="U12" t="s">
        <v>85</v>
      </c>
      <c r="V12">
        <v>14</v>
      </c>
    </row>
    <row r="13" spans="3:22" x14ac:dyDescent="0.25">
      <c r="C13" s="3">
        <v>9.1</v>
      </c>
      <c r="U13" t="s">
        <v>86</v>
      </c>
      <c r="V13">
        <v>-3.222804025483152</v>
      </c>
    </row>
    <row r="14" spans="3:22" x14ac:dyDescent="0.25">
      <c r="C14" s="3">
        <v>13.3</v>
      </c>
      <c r="U14" t="s">
        <v>87</v>
      </c>
      <c r="V14">
        <v>3.0679176902840685E-3</v>
      </c>
    </row>
    <row r="15" spans="3:22" x14ac:dyDescent="0.25">
      <c r="C15" s="3">
        <v>4.7</v>
      </c>
      <c r="U15" t="s">
        <v>88</v>
      </c>
      <c r="V15">
        <v>1.7613101357748921</v>
      </c>
    </row>
    <row r="16" spans="3:22" x14ac:dyDescent="0.25">
      <c r="C16" s="4">
        <v>21.2</v>
      </c>
      <c r="U16" t="s">
        <v>89</v>
      </c>
      <c r="V16">
        <v>6.135835380568137E-3</v>
      </c>
    </row>
    <row r="17" spans="3:22" ht="15.75" thickBot="1" x14ac:dyDescent="0.3">
      <c r="C17" s="4">
        <v>13.2</v>
      </c>
      <c r="U17" s="12" t="s">
        <v>90</v>
      </c>
      <c r="V17" s="12">
        <v>2.1447866879178044</v>
      </c>
    </row>
    <row r="18" spans="3:22" x14ac:dyDescent="0.25">
      <c r="C18" s="4">
        <v>15.7</v>
      </c>
    </row>
    <row r="19" spans="3:22" x14ac:dyDescent="0.25">
      <c r="C19" s="4">
        <v>20.399999999999999</v>
      </c>
      <c r="K19" t="s">
        <v>91</v>
      </c>
      <c r="T19" t="s">
        <v>99</v>
      </c>
    </row>
    <row r="20" spans="3:22" x14ac:dyDescent="0.25">
      <c r="C20" s="7">
        <v>24.3</v>
      </c>
      <c r="T20" t="s">
        <v>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opLeftCell="I1" zoomScale="67" workbookViewId="0">
      <selection activeCell="L24" sqref="L24"/>
    </sheetView>
  </sheetViews>
  <sheetFormatPr defaultRowHeight="15" x14ac:dyDescent="0.25"/>
  <cols>
    <col min="6" max="6" width="19.140625" customWidth="1"/>
  </cols>
  <sheetData>
    <row r="1" spans="1:21" ht="136.5" thickBot="1" x14ac:dyDescent="0.35">
      <c r="A1" s="49">
        <v>2019</v>
      </c>
      <c r="B1" s="50" t="s">
        <v>67</v>
      </c>
      <c r="C1" s="46" t="s">
        <v>29</v>
      </c>
      <c r="D1" s="38" t="s">
        <v>66</v>
      </c>
      <c r="F1" s="51" t="s">
        <v>100</v>
      </c>
      <c r="G1" s="51" t="s">
        <v>101</v>
      </c>
      <c r="L1" s="35" t="s">
        <v>68</v>
      </c>
      <c r="M1" s="35"/>
      <c r="N1" s="35"/>
      <c r="O1" s="35"/>
      <c r="P1" s="35"/>
    </row>
    <row r="2" spans="1:21" ht="16.5" thickBot="1" x14ac:dyDescent="0.3">
      <c r="A2" s="16" t="s">
        <v>0</v>
      </c>
      <c r="B2" s="17">
        <v>23.8</v>
      </c>
      <c r="C2" s="42">
        <v>15.9</v>
      </c>
      <c r="D2" s="18" t="s">
        <v>63</v>
      </c>
      <c r="F2" s="52">
        <f>(C2-C32)^2</f>
        <v>3.0625000000000062</v>
      </c>
      <c r="G2" s="18">
        <f>($C2-O5)^2</f>
        <v>0.12755102040816235</v>
      </c>
      <c r="L2" s="35"/>
      <c r="M2" s="35"/>
      <c r="N2" s="35"/>
      <c r="O2" s="35"/>
      <c r="P2" s="35"/>
    </row>
    <row r="3" spans="1:21" ht="38.25" thickBot="1" x14ac:dyDescent="0.35">
      <c r="A3" s="19" t="s">
        <v>25</v>
      </c>
      <c r="B3" s="3">
        <v>31.5</v>
      </c>
      <c r="C3" s="42">
        <v>21.7</v>
      </c>
      <c r="D3" s="20" t="s">
        <v>63</v>
      </c>
      <c r="F3" s="53">
        <f>($C3-C32)^2</f>
        <v>16.402499999999979</v>
      </c>
      <c r="G3" s="20">
        <f>($C3-O5)^2</f>
        <v>37.910408163265281</v>
      </c>
      <c r="L3" s="35" t="s">
        <v>69</v>
      </c>
      <c r="M3" s="35"/>
      <c r="N3" s="35"/>
      <c r="O3" s="54" t="s">
        <v>102</v>
      </c>
      <c r="P3" s="35"/>
      <c r="S3" s="55"/>
      <c r="T3" s="56" t="s">
        <v>77</v>
      </c>
      <c r="U3" t="s">
        <v>103</v>
      </c>
    </row>
    <row r="4" spans="1:21" ht="15.75" x14ac:dyDescent="0.25">
      <c r="A4" s="19" t="s">
        <v>8</v>
      </c>
      <c r="B4" s="3">
        <v>34.799999999999997</v>
      </c>
      <c r="C4" s="42">
        <v>14.4</v>
      </c>
      <c r="D4" s="20" t="s">
        <v>63</v>
      </c>
      <c r="F4" s="53">
        <f>($C4-C32)^2</f>
        <v>10.562500000000011</v>
      </c>
      <c r="G4" s="20">
        <f>($C4-O5)^2</f>
        <v>1.3061224489795948</v>
      </c>
      <c r="L4" s="36" t="s">
        <v>70</v>
      </c>
      <c r="M4" s="36" t="s">
        <v>51</v>
      </c>
      <c r="N4" s="36" t="s">
        <v>50</v>
      </c>
      <c r="O4" s="36" t="s">
        <v>71</v>
      </c>
      <c r="P4" s="36" t="s">
        <v>72</v>
      </c>
      <c r="S4" s="40"/>
      <c r="T4" s="20"/>
    </row>
    <row r="5" spans="1:21" ht="15.75" x14ac:dyDescent="0.25">
      <c r="A5" s="21" t="s">
        <v>6</v>
      </c>
      <c r="B5" s="6">
        <v>36.4</v>
      </c>
      <c r="C5" s="45">
        <v>16.2</v>
      </c>
      <c r="D5" s="20" t="s">
        <v>63</v>
      </c>
      <c r="F5" s="53">
        <f>($C5-C32)^2</f>
        <v>2.102500000000008</v>
      </c>
      <c r="G5" s="20">
        <f>($C5-O5)^2</f>
        <v>0.43183673469387446</v>
      </c>
      <c r="L5" s="35" t="s">
        <v>73</v>
      </c>
      <c r="M5" s="35">
        <v>7</v>
      </c>
      <c r="N5" s="35">
        <f>SUM(C2:C8)</f>
        <v>108.80000000000001</v>
      </c>
      <c r="O5" s="35">
        <f>N5/M5</f>
        <v>15.542857142857144</v>
      </c>
      <c r="P5" s="35">
        <f>VAR(C2:C8)</f>
        <v>9.9995238095237937</v>
      </c>
      <c r="S5" s="40" t="s">
        <v>63</v>
      </c>
      <c r="T5" s="20">
        <f>M5*(O5-C32)^2</f>
        <v>31.080357142857157</v>
      </c>
    </row>
    <row r="6" spans="1:21" ht="15.75" x14ac:dyDescent="0.25">
      <c r="A6" s="19" t="s">
        <v>10</v>
      </c>
      <c r="B6" s="3">
        <v>37.4</v>
      </c>
      <c r="C6" s="42">
        <v>11.4</v>
      </c>
      <c r="D6" s="20" t="s">
        <v>63</v>
      </c>
      <c r="F6" s="53">
        <f>($C6-C32)^2</f>
        <v>39.062500000000021</v>
      </c>
      <c r="G6" s="20">
        <f>($C6-O5)^2</f>
        <v>17.163265306122458</v>
      </c>
      <c r="L6" s="35" t="s">
        <v>65</v>
      </c>
      <c r="M6" s="35">
        <v>14</v>
      </c>
      <c r="N6" s="35">
        <f>SUM(C9:C22)</f>
        <v>258.10000000000002</v>
      </c>
      <c r="O6" s="35">
        <f>N6/M6</f>
        <v>18.435714285714287</v>
      </c>
      <c r="P6" s="35">
        <f>VAR(C9:C22)</f>
        <v>14.353241758241683</v>
      </c>
      <c r="S6" s="40" t="s">
        <v>65</v>
      </c>
      <c r="T6" s="20">
        <f>M6*(O6-C32)^2</f>
        <v>8.642857142857121</v>
      </c>
    </row>
    <row r="7" spans="1:21" ht="16.5" thickBot="1" x14ac:dyDescent="0.3">
      <c r="A7" s="22" t="s">
        <v>26</v>
      </c>
      <c r="B7" s="2">
        <v>37.6</v>
      </c>
      <c r="C7" s="44">
        <v>13.8</v>
      </c>
      <c r="D7" s="20" t="s">
        <v>63</v>
      </c>
      <c r="F7" s="53">
        <f>($C7-C32)^2</f>
        <v>14.82250000000001</v>
      </c>
      <c r="G7" s="20">
        <f>($C7-O5)^2</f>
        <v>3.0375510204081664</v>
      </c>
      <c r="L7" s="37" t="s">
        <v>74</v>
      </c>
      <c r="M7" s="37">
        <v>7</v>
      </c>
      <c r="N7" s="37">
        <f>SUM(C23:C29)</f>
        <v>127.29999999999998</v>
      </c>
      <c r="O7" s="37">
        <f>N7/M7</f>
        <v>18.185714285714283</v>
      </c>
      <c r="P7" s="37">
        <f>VAR(C23:C29)</f>
        <v>23.238095238095337</v>
      </c>
      <c r="S7" s="40" t="s">
        <v>64</v>
      </c>
      <c r="T7" s="20">
        <f>M7*(O7-C32)^2</f>
        <v>2.008928571428537</v>
      </c>
    </row>
    <row r="8" spans="1:21" ht="15.75" thickBot="1" x14ac:dyDescent="0.3">
      <c r="A8" s="23" t="s">
        <v>7</v>
      </c>
      <c r="B8" s="24">
        <v>37.700000000000003</v>
      </c>
      <c r="C8" s="42">
        <v>15.4</v>
      </c>
      <c r="D8" s="20" t="s">
        <v>63</v>
      </c>
      <c r="F8" s="57">
        <f>($C8-C32)^2</f>
        <v>5.062500000000008</v>
      </c>
      <c r="G8" s="20">
        <f>($C8-O5)^2</f>
        <v>2.0408163265306485E-2</v>
      </c>
      <c r="S8" s="58" t="s">
        <v>78</v>
      </c>
      <c r="T8" s="59">
        <f>SUM(T5:T7)</f>
        <v>41.732142857142811</v>
      </c>
    </row>
    <row r="9" spans="1:21" x14ac:dyDescent="0.25">
      <c r="A9" s="26" t="s">
        <v>4</v>
      </c>
      <c r="B9" s="17">
        <v>38.200000000000003</v>
      </c>
      <c r="C9" s="47">
        <v>18.5</v>
      </c>
      <c r="D9" s="18" t="s">
        <v>65</v>
      </c>
      <c r="F9" s="55">
        <f>($C9-C32)^2</f>
        <v>0.72249999999999637</v>
      </c>
      <c r="G9" s="52">
        <f t="shared" ref="G9:G22" si="0">($C9-$O$6)^2</f>
        <v>4.1326530612243459E-3</v>
      </c>
    </row>
    <row r="10" spans="1:21" x14ac:dyDescent="0.25">
      <c r="A10" s="27" t="s">
        <v>23</v>
      </c>
      <c r="B10" s="4">
        <v>41.4</v>
      </c>
      <c r="C10" s="43">
        <v>19.3</v>
      </c>
      <c r="D10" s="20" t="s">
        <v>65</v>
      </c>
      <c r="F10" s="40">
        <f>($C10-C32)^2</f>
        <v>2.7224999999999953</v>
      </c>
      <c r="G10" s="53">
        <f t="shared" si="0"/>
        <v>0.74698979591836667</v>
      </c>
    </row>
    <row r="11" spans="1:21" x14ac:dyDescent="0.25">
      <c r="A11" s="27" t="s">
        <v>19</v>
      </c>
      <c r="B11" s="4">
        <v>41.8</v>
      </c>
      <c r="C11" s="43">
        <v>18.5</v>
      </c>
      <c r="D11" s="20" t="s">
        <v>65</v>
      </c>
      <c r="F11" s="40">
        <f>($C11-C32)^2</f>
        <v>0.72249999999999637</v>
      </c>
      <c r="G11" s="53">
        <f t="shared" si="0"/>
        <v>4.1326530612243459E-3</v>
      </c>
    </row>
    <row r="12" spans="1:21" x14ac:dyDescent="0.25">
      <c r="A12" s="21" t="s">
        <v>11</v>
      </c>
      <c r="B12" s="6">
        <v>42.5</v>
      </c>
      <c r="C12" s="45">
        <v>14.6</v>
      </c>
      <c r="D12" s="20" t="s">
        <v>65</v>
      </c>
      <c r="F12" s="40">
        <f>($C12-C32)^2</f>
        <v>9.3025000000000144</v>
      </c>
      <c r="G12" s="53">
        <f t="shared" si="0"/>
        <v>14.712704081632664</v>
      </c>
    </row>
    <row r="13" spans="1:21" x14ac:dyDescent="0.25">
      <c r="A13" s="28" t="s">
        <v>27</v>
      </c>
      <c r="B13" s="7">
        <v>42.8</v>
      </c>
      <c r="C13" s="60">
        <v>21.1</v>
      </c>
      <c r="D13" s="20" t="s">
        <v>65</v>
      </c>
      <c r="F13" s="40">
        <f>($C13-C32)^2</f>
        <v>11.902499999999995</v>
      </c>
      <c r="G13" s="53">
        <f t="shared" si="0"/>
        <v>7.0984183673469401</v>
      </c>
    </row>
    <row r="14" spans="1:21" x14ac:dyDescent="0.25">
      <c r="A14" s="27" t="s">
        <v>18</v>
      </c>
      <c r="B14" s="4">
        <v>43.8</v>
      </c>
      <c r="C14" s="61">
        <v>16.7</v>
      </c>
      <c r="D14" s="20" t="s">
        <v>65</v>
      </c>
      <c r="F14" s="40">
        <f>($C14-C32)^2</f>
        <v>0.90250000000000541</v>
      </c>
      <c r="G14" s="53">
        <f t="shared" si="0"/>
        <v>3.0127040816326596</v>
      </c>
    </row>
    <row r="15" spans="1:21" x14ac:dyDescent="0.25">
      <c r="A15" s="21" t="s">
        <v>16</v>
      </c>
      <c r="B15" s="6">
        <v>43.8</v>
      </c>
      <c r="C15" s="62">
        <v>28.1</v>
      </c>
      <c r="D15" s="20" t="s">
        <v>65</v>
      </c>
      <c r="F15" s="40">
        <f>($C15-C32)^2</f>
        <v>109.20249999999999</v>
      </c>
      <c r="G15" s="53">
        <f t="shared" si="0"/>
        <v>93.398418367346949</v>
      </c>
    </row>
    <row r="16" spans="1:21" x14ac:dyDescent="0.25">
      <c r="A16" s="21" t="s">
        <v>20</v>
      </c>
      <c r="B16" s="6">
        <v>43.9</v>
      </c>
      <c r="C16" s="45">
        <v>17.2</v>
      </c>
      <c r="D16" s="20" t="s">
        <v>65</v>
      </c>
      <c r="F16" s="40">
        <f>($C16-C32)^2</f>
        <v>0.20250000000000257</v>
      </c>
      <c r="G16" s="53">
        <f t="shared" si="0"/>
        <v>1.5269897959183718</v>
      </c>
    </row>
    <row r="17" spans="1:18" x14ac:dyDescent="0.25">
      <c r="A17" s="22" t="s">
        <v>13</v>
      </c>
      <c r="B17" s="2">
        <v>45.4</v>
      </c>
      <c r="C17" s="44">
        <v>18.3</v>
      </c>
      <c r="D17" s="20" t="s">
        <v>65</v>
      </c>
      <c r="F17" s="40">
        <f>($C17-C32)^2</f>
        <v>0.42249999999999815</v>
      </c>
      <c r="G17" s="63">
        <f t="shared" si="0"/>
        <v>1.8418367346938885E-2</v>
      </c>
    </row>
    <row r="18" spans="1:18" x14ac:dyDescent="0.25">
      <c r="A18" s="21" t="s">
        <v>9</v>
      </c>
      <c r="B18" s="6">
        <v>45.8</v>
      </c>
      <c r="C18" s="45">
        <v>22.6</v>
      </c>
      <c r="D18" s="20" t="s">
        <v>65</v>
      </c>
      <c r="F18" s="40">
        <f>($C18-C32)^2</f>
        <v>24.502499999999994</v>
      </c>
      <c r="G18" s="53">
        <f t="shared" si="0"/>
        <v>17.341275510204085</v>
      </c>
    </row>
    <row r="19" spans="1:18" x14ac:dyDescent="0.25">
      <c r="A19" s="21" t="s">
        <v>22</v>
      </c>
      <c r="B19" s="6">
        <v>46</v>
      </c>
      <c r="C19" s="45">
        <v>19.399999999999999</v>
      </c>
      <c r="D19" s="20" t="s">
        <v>65</v>
      </c>
      <c r="F19" s="40">
        <f>($C19-C32)^2</f>
        <v>3.0624999999999876</v>
      </c>
      <c r="G19" s="53">
        <f t="shared" si="0"/>
        <v>0.92984693877550528</v>
      </c>
    </row>
    <row r="20" spans="1:18" x14ac:dyDescent="0.25">
      <c r="A20" s="27" t="s">
        <v>1</v>
      </c>
      <c r="B20" s="4">
        <v>46.4</v>
      </c>
      <c r="C20" s="43">
        <v>13.2</v>
      </c>
      <c r="D20" s="20" t="s">
        <v>65</v>
      </c>
      <c r="F20" s="40">
        <f>($C20-C32)^2</f>
        <v>19.802500000000027</v>
      </c>
      <c r="G20" s="53">
        <f t="shared" si="0"/>
        <v>27.412704081632672</v>
      </c>
    </row>
    <row r="21" spans="1:18" ht="18.75" thickBot="1" x14ac:dyDescent="0.3">
      <c r="A21" s="22" t="s">
        <v>3</v>
      </c>
      <c r="B21" s="2">
        <v>47.6</v>
      </c>
      <c r="C21" s="44">
        <v>15.9</v>
      </c>
      <c r="D21" s="20" t="s">
        <v>65</v>
      </c>
      <c r="F21" s="40">
        <f>($C21-C32)^2</f>
        <v>3.0625000000000062</v>
      </c>
      <c r="G21" s="53">
        <f t="shared" si="0"/>
        <v>6.4298469387755137</v>
      </c>
      <c r="L21" s="64" t="s">
        <v>104</v>
      </c>
      <c r="M21" s="64" t="s">
        <v>105</v>
      </c>
      <c r="N21" s="64"/>
      <c r="O21" s="64" t="s">
        <v>106</v>
      </c>
      <c r="P21" s="64"/>
      <c r="Q21" s="64"/>
      <c r="R21" s="64"/>
    </row>
    <row r="22" spans="1:18" ht="19.5" thickBot="1" x14ac:dyDescent="0.35">
      <c r="A22" s="29" t="s">
        <v>24</v>
      </c>
      <c r="B22" s="30">
        <v>48.2</v>
      </c>
      <c r="C22" s="65">
        <v>14.7</v>
      </c>
      <c r="D22" s="25" t="s">
        <v>65</v>
      </c>
      <c r="F22" s="41">
        <f>($C22-C32)^2</f>
        <v>8.7025000000000166</v>
      </c>
      <c r="G22" s="57">
        <f t="shared" si="0"/>
        <v>13.955561224489809</v>
      </c>
      <c r="L22" s="66" t="s">
        <v>107</v>
      </c>
      <c r="M22" s="66" t="s">
        <v>108</v>
      </c>
      <c r="N22" s="66" t="s">
        <v>85</v>
      </c>
      <c r="O22" s="66" t="s">
        <v>109</v>
      </c>
      <c r="P22" s="66" t="s">
        <v>110</v>
      </c>
      <c r="Q22" s="66" t="s">
        <v>111</v>
      </c>
      <c r="R22" s="66" t="s">
        <v>112</v>
      </c>
    </row>
    <row r="23" spans="1:18" ht="18" x14ac:dyDescent="0.25">
      <c r="A23" s="31" t="s">
        <v>5</v>
      </c>
      <c r="B23" s="32">
        <v>49.3</v>
      </c>
      <c r="C23" s="44">
        <v>21.1</v>
      </c>
      <c r="D23" s="20" t="s">
        <v>64</v>
      </c>
      <c r="F23" s="52">
        <f>($C23-C32)^2</f>
        <v>11.902499999999995</v>
      </c>
      <c r="G23" s="20">
        <f t="shared" ref="G23:G29" si="1">($C23-$O$7)^2</f>
        <v>8.4930612244898178</v>
      </c>
      <c r="K23" t="s">
        <v>113</v>
      </c>
      <c r="L23" s="67" t="s">
        <v>114</v>
      </c>
      <c r="M23" s="68">
        <f>T8</f>
        <v>41.732142857142811</v>
      </c>
      <c r="N23" s="64">
        <v>2</v>
      </c>
      <c r="O23" s="64">
        <f>M23/N23</f>
        <v>20.866071428571406</v>
      </c>
      <c r="P23" s="64">
        <f>O23/O24</f>
        <v>1.3513669796919074</v>
      </c>
      <c r="Q23" s="64" t="s">
        <v>120</v>
      </c>
      <c r="R23" s="64">
        <f>_xlfn.F.INV.RT(0.05,2,25)</f>
        <v>3.3851899614491709</v>
      </c>
    </row>
    <row r="24" spans="1:18" ht="18" x14ac:dyDescent="0.25">
      <c r="A24" s="27" t="s">
        <v>15</v>
      </c>
      <c r="B24" s="4">
        <v>49.3</v>
      </c>
      <c r="C24" s="43">
        <v>23.9</v>
      </c>
      <c r="D24" s="20" t="s">
        <v>64</v>
      </c>
      <c r="F24" s="53">
        <f>($C24-C32)^2</f>
        <v>39.062499999999957</v>
      </c>
      <c r="G24" s="20">
        <f t="shared" si="1"/>
        <v>32.653061224489811</v>
      </c>
      <c r="K24" t="s">
        <v>115</v>
      </c>
      <c r="L24" s="67" t="s">
        <v>116</v>
      </c>
      <c r="M24" s="69">
        <f>G30</f>
        <v>386.01785714285722</v>
      </c>
      <c r="N24" s="64">
        <v>25</v>
      </c>
      <c r="O24" s="64">
        <f>M24/N24</f>
        <v>15.440714285714289</v>
      </c>
      <c r="P24" s="64"/>
      <c r="Q24" s="64"/>
      <c r="R24" s="64"/>
    </row>
    <row r="25" spans="1:18" ht="18" x14ac:dyDescent="0.25">
      <c r="A25" s="27" t="s">
        <v>2</v>
      </c>
      <c r="B25" s="4">
        <v>51.1</v>
      </c>
      <c r="C25" s="43">
        <v>19.3</v>
      </c>
      <c r="D25" s="20" t="s">
        <v>64</v>
      </c>
      <c r="F25" s="53">
        <f>($C25-C32)^2</f>
        <v>2.7224999999999953</v>
      </c>
      <c r="G25" s="20">
        <f t="shared" si="1"/>
        <v>1.2416326530612316</v>
      </c>
      <c r="L25" s="64"/>
      <c r="M25" s="64"/>
      <c r="N25" s="64"/>
      <c r="O25" s="64"/>
      <c r="P25" s="64"/>
      <c r="Q25" s="64"/>
      <c r="R25" s="64"/>
    </row>
    <row r="26" spans="1:18" ht="18.75" thickBot="1" x14ac:dyDescent="0.3">
      <c r="A26" s="19" t="s">
        <v>17</v>
      </c>
      <c r="B26" s="3">
        <v>51.4</v>
      </c>
      <c r="C26" s="42">
        <v>14.1</v>
      </c>
      <c r="D26" s="20" t="s">
        <v>64</v>
      </c>
      <c r="F26" s="53">
        <f>($C26-C32)^2</f>
        <v>12.602500000000017</v>
      </c>
      <c r="G26" s="20">
        <f t="shared" si="1"/>
        <v>16.693061224489778</v>
      </c>
      <c r="L26" s="70" t="s">
        <v>117</v>
      </c>
      <c r="M26" s="71">
        <f>F30</f>
        <v>427.75</v>
      </c>
      <c r="N26" s="70">
        <v>27</v>
      </c>
      <c r="O26" s="70"/>
      <c r="P26" s="70"/>
      <c r="Q26" s="70"/>
      <c r="R26" s="70"/>
    </row>
    <row r="27" spans="1:18" x14ac:dyDescent="0.25">
      <c r="A27" s="22" t="s">
        <v>12</v>
      </c>
      <c r="B27" s="2">
        <v>53.3</v>
      </c>
      <c r="C27" s="44">
        <v>22.3</v>
      </c>
      <c r="D27" s="20" t="s">
        <v>64</v>
      </c>
      <c r="F27" s="53">
        <f>($C27-C32)^2</f>
        <v>21.622499999999988</v>
      </c>
      <c r="G27" s="20">
        <f t="shared" si="1"/>
        <v>16.927346938775536</v>
      </c>
    </row>
    <row r="28" spans="1:18" x14ac:dyDescent="0.25">
      <c r="A28" s="19" t="s">
        <v>14</v>
      </c>
      <c r="B28" s="3">
        <v>54.3</v>
      </c>
      <c r="C28" s="42">
        <v>16.100000000000001</v>
      </c>
      <c r="D28" s="20" t="s">
        <v>64</v>
      </c>
      <c r="F28" s="53">
        <f>($C28-C32)^2</f>
        <v>2.4025000000000021</v>
      </c>
      <c r="G28" s="20">
        <f t="shared" si="1"/>
        <v>4.3502040816326373</v>
      </c>
    </row>
    <row r="29" spans="1:18" ht="24" thickBot="1" x14ac:dyDescent="0.4">
      <c r="A29" s="33" t="s">
        <v>21</v>
      </c>
      <c r="B29" s="34">
        <v>71.5</v>
      </c>
      <c r="C29" s="72">
        <v>10.5</v>
      </c>
      <c r="D29" s="20" t="s">
        <v>64</v>
      </c>
      <c r="F29" s="57">
        <f>($C29-C32)^2</f>
        <v>51.122500000000031</v>
      </c>
      <c r="G29" s="20">
        <f t="shared" si="1"/>
        <v>59.070204081632617</v>
      </c>
      <c r="L29" s="73" t="s">
        <v>118</v>
      </c>
    </row>
    <row r="30" spans="1:18" ht="21.75" thickBot="1" x14ac:dyDescent="0.4">
      <c r="A30" s="74" t="s">
        <v>75</v>
      </c>
      <c r="B30" s="39"/>
      <c r="C30" s="75">
        <f>SUM(C2:C29)</f>
        <v>494.20000000000005</v>
      </c>
      <c r="D30" s="39"/>
      <c r="E30" s="39"/>
      <c r="F30" s="76">
        <f>SUM(F2:F29)</f>
        <v>427.75</v>
      </c>
      <c r="G30" s="76">
        <f>SUM(G2:G29)</f>
        <v>386.01785714285722</v>
      </c>
      <c r="L30" s="77" t="s">
        <v>119</v>
      </c>
    </row>
    <row r="31" spans="1:18" x14ac:dyDescent="0.25">
      <c r="A31" s="40" t="s">
        <v>51</v>
      </c>
      <c r="C31" s="20">
        <v>28</v>
      </c>
    </row>
    <row r="32" spans="1:18" ht="15.75" thickBot="1" x14ac:dyDescent="0.3">
      <c r="A32" s="41" t="s">
        <v>76</v>
      </c>
      <c r="B32" s="12"/>
      <c r="C32" s="25">
        <f>C30/C31</f>
        <v>17.650000000000002</v>
      </c>
    </row>
    <row r="33" spans="12:12" ht="23.25" x14ac:dyDescent="0.35">
      <c r="L33" s="73" t="s">
        <v>121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activeCell="H31" sqref="H31"/>
    </sheetView>
  </sheetViews>
  <sheetFormatPr defaultRowHeight="15" x14ac:dyDescent="0.25"/>
  <sheetData>
    <row r="1" spans="1:13" ht="75.75" x14ac:dyDescent="0.3">
      <c r="A1" s="1">
        <v>2019</v>
      </c>
      <c r="B1" s="1" t="s">
        <v>32</v>
      </c>
      <c r="C1" s="1" t="s">
        <v>30</v>
      </c>
      <c r="D1" s="1" t="s">
        <v>29</v>
      </c>
      <c r="E1" s="1" t="s">
        <v>125</v>
      </c>
      <c r="F1" s="78" t="s">
        <v>77</v>
      </c>
      <c r="K1" s="1" t="s">
        <v>126</v>
      </c>
    </row>
    <row r="2" spans="1:13" x14ac:dyDescent="0.25">
      <c r="A2" s="5" t="s">
        <v>0</v>
      </c>
      <c r="B2" s="3">
        <v>32.700000000000003</v>
      </c>
      <c r="C2" s="3">
        <v>0.9</v>
      </c>
      <c r="D2" s="3">
        <v>15.9</v>
      </c>
      <c r="E2">
        <f>SUM($B2:$D2)/3</f>
        <v>16.5</v>
      </c>
      <c r="F2">
        <f>($E2-$E$31)^2</f>
        <v>1.9700127551020405</v>
      </c>
      <c r="K2">
        <f>($B2-$E$31)^2</f>
        <v>218.93429846938784</v>
      </c>
      <c r="L2">
        <f>($C2-$E$31)^2</f>
        <v>289.12144132653066</v>
      </c>
      <c r="M2">
        <f>($D2-$E$31)^2</f>
        <v>4.0142984693877537</v>
      </c>
    </row>
    <row r="3" spans="1:13" x14ac:dyDescent="0.25">
      <c r="A3" s="4" t="s">
        <v>1</v>
      </c>
      <c r="B3" s="4">
        <v>56</v>
      </c>
      <c r="C3" s="4">
        <v>3</v>
      </c>
      <c r="D3" s="4">
        <v>13.2</v>
      </c>
      <c r="E3">
        <f t="shared" ref="E3:E29" si="0">SUM($B3:$D3)/3</f>
        <v>24.066666666666666</v>
      </c>
      <c r="F3">
        <f t="shared" ref="F3:F29" si="1">($E3-$E$31)^2</f>
        <v>37.983742913832195</v>
      </c>
      <c r="K3">
        <f>($B3-$E$31)^2</f>
        <v>1451.3378698979595</v>
      </c>
      <c r="L3">
        <f t="shared" ref="L3:L29" si="2">($C3-$E$31)^2</f>
        <v>222.11644132653061</v>
      </c>
      <c r="M3">
        <f t="shared" ref="M3:M29" si="3">($D3-$E$31)^2</f>
        <v>22.123584183673476</v>
      </c>
    </row>
    <row r="4" spans="1:13" x14ac:dyDescent="0.25">
      <c r="A4" s="4" t="s">
        <v>2</v>
      </c>
      <c r="B4" s="4">
        <v>32.9</v>
      </c>
      <c r="C4" s="4">
        <v>2.2999999999999998</v>
      </c>
      <c r="D4" s="4">
        <v>19.3</v>
      </c>
      <c r="E4">
        <f t="shared" si="0"/>
        <v>18.166666666666668</v>
      </c>
      <c r="F4">
        <f t="shared" si="1"/>
        <v>6.9219104308390705E-2</v>
      </c>
      <c r="K4">
        <f t="shared" ref="K4:K29" si="4">($B4-$E$31)^2</f>
        <v>224.89286989795914</v>
      </c>
      <c r="L4">
        <f t="shared" si="2"/>
        <v>243.4714413265306</v>
      </c>
      <c r="M4">
        <f t="shared" si="3"/>
        <v>1.9500127551020432</v>
      </c>
    </row>
    <row r="5" spans="1:13" x14ac:dyDescent="0.25">
      <c r="A5" s="2" t="s">
        <v>3</v>
      </c>
      <c r="B5" s="2">
        <v>11.8</v>
      </c>
      <c r="C5" s="2">
        <v>0.5</v>
      </c>
      <c r="D5" s="2">
        <v>15.9</v>
      </c>
      <c r="E5">
        <f t="shared" si="0"/>
        <v>9.4</v>
      </c>
      <c r="F5">
        <f t="shared" si="1"/>
        <v>72.310727040816317</v>
      </c>
      <c r="K5">
        <f t="shared" si="4"/>
        <v>37.25358418367346</v>
      </c>
      <c r="L5">
        <f t="shared" si="2"/>
        <v>302.88429846938777</v>
      </c>
      <c r="M5">
        <f t="shared" si="3"/>
        <v>4.0142984693877537</v>
      </c>
    </row>
    <row r="6" spans="1:13" x14ac:dyDescent="0.25">
      <c r="A6" s="3" t="s">
        <v>4</v>
      </c>
      <c r="B6" s="3">
        <v>13.1</v>
      </c>
      <c r="C6" s="3">
        <v>1.8</v>
      </c>
      <c r="D6" s="3">
        <v>18.5</v>
      </c>
      <c r="E6">
        <f t="shared" si="0"/>
        <v>11.133333333333333</v>
      </c>
      <c r="F6">
        <f t="shared" si="1"/>
        <v>45.836123866213157</v>
      </c>
      <c r="K6">
        <f t="shared" si="4"/>
        <v>23.074298469387756</v>
      </c>
      <c r="L6">
        <f t="shared" si="2"/>
        <v>259.32501275510202</v>
      </c>
      <c r="M6">
        <f t="shared" si="3"/>
        <v>0.35572704081632667</v>
      </c>
    </row>
    <row r="7" spans="1:13" x14ac:dyDescent="0.25">
      <c r="A7" s="2" t="s">
        <v>5</v>
      </c>
      <c r="B7" s="2">
        <v>31.7</v>
      </c>
      <c r="C7" s="2">
        <v>0.6</v>
      </c>
      <c r="D7" s="2">
        <v>21.1</v>
      </c>
      <c r="E7">
        <f t="shared" si="0"/>
        <v>17.8</v>
      </c>
      <c r="F7">
        <f t="shared" si="1"/>
        <v>1.0727040816326363E-2</v>
      </c>
      <c r="K7">
        <f t="shared" si="4"/>
        <v>190.3414413265306</v>
      </c>
      <c r="L7">
        <f t="shared" si="2"/>
        <v>299.41358418367344</v>
      </c>
      <c r="M7">
        <f t="shared" si="3"/>
        <v>10.217155612244907</v>
      </c>
    </row>
    <row r="8" spans="1:13" x14ac:dyDescent="0.25">
      <c r="A8" s="6" t="s">
        <v>6</v>
      </c>
      <c r="B8" s="6">
        <v>30.9</v>
      </c>
      <c r="C8" s="6">
        <v>1.6</v>
      </c>
      <c r="D8" s="6">
        <v>16.2</v>
      </c>
      <c r="E8">
        <f t="shared" si="0"/>
        <v>16.233333333333334</v>
      </c>
      <c r="F8">
        <f t="shared" si="1"/>
        <v>2.7896952947845768</v>
      </c>
      <c r="K8">
        <f t="shared" si="4"/>
        <v>168.90715561224485</v>
      </c>
      <c r="L8">
        <f t="shared" si="2"/>
        <v>265.80644132653055</v>
      </c>
      <c r="M8">
        <f t="shared" si="3"/>
        <v>2.9021556122449002</v>
      </c>
    </row>
    <row r="9" spans="1:13" x14ac:dyDescent="0.25">
      <c r="A9" s="3" t="s">
        <v>7</v>
      </c>
      <c r="B9" s="3">
        <v>33.4</v>
      </c>
      <c r="C9" s="3">
        <v>1.6</v>
      </c>
      <c r="D9" s="3">
        <v>15.4</v>
      </c>
      <c r="E9">
        <f t="shared" si="0"/>
        <v>16.8</v>
      </c>
      <c r="F9">
        <f t="shared" si="1"/>
        <v>1.217869897959182</v>
      </c>
      <c r="K9">
        <f t="shared" si="4"/>
        <v>240.13929846938771</v>
      </c>
      <c r="L9">
        <f t="shared" si="2"/>
        <v>265.80644132653055</v>
      </c>
      <c r="M9">
        <f t="shared" si="3"/>
        <v>6.2678698979591818</v>
      </c>
    </row>
    <row r="10" spans="1:13" x14ac:dyDescent="0.25">
      <c r="A10" s="3" t="s">
        <v>8</v>
      </c>
      <c r="B10" s="3">
        <v>33.200000000000003</v>
      </c>
      <c r="C10" s="3">
        <v>1.3</v>
      </c>
      <c r="D10" s="3">
        <v>14.4</v>
      </c>
      <c r="E10">
        <f t="shared" si="0"/>
        <v>16.3</v>
      </c>
      <c r="F10">
        <f t="shared" si="1"/>
        <v>2.5714413265306098</v>
      </c>
      <c r="K10">
        <f t="shared" si="4"/>
        <v>233.98072704081642</v>
      </c>
      <c r="L10">
        <f t="shared" si="2"/>
        <v>275.67858418367342</v>
      </c>
      <c r="M10">
        <f t="shared" si="3"/>
        <v>12.275012755102038</v>
      </c>
    </row>
    <row r="11" spans="1:13" x14ac:dyDescent="0.25">
      <c r="A11" s="6" t="s">
        <v>9</v>
      </c>
      <c r="B11" s="6">
        <v>42</v>
      </c>
      <c r="C11" s="6">
        <v>0.7</v>
      </c>
      <c r="D11" s="6">
        <v>22.6</v>
      </c>
      <c r="E11">
        <f t="shared" si="0"/>
        <v>21.766666666666669</v>
      </c>
      <c r="F11">
        <f t="shared" si="1"/>
        <v>14.923504818594125</v>
      </c>
      <c r="K11">
        <f t="shared" si="4"/>
        <v>580.63786989795915</v>
      </c>
      <c r="L11">
        <f t="shared" si="2"/>
        <v>295.96286989795919</v>
      </c>
      <c r="M11">
        <f t="shared" si="3"/>
        <v>22.056441326530628</v>
      </c>
    </row>
    <row r="12" spans="1:13" x14ac:dyDescent="0.25">
      <c r="A12" s="3" t="s">
        <v>10</v>
      </c>
      <c r="B12" s="3">
        <v>45.2</v>
      </c>
      <c r="C12" s="3">
        <v>1.2</v>
      </c>
      <c r="D12" s="3">
        <v>11.4</v>
      </c>
      <c r="E12">
        <f t="shared" si="0"/>
        <v>19.266666666666669</v>
      </c>
      <c r="F12">
        <f t="shared" si="1"/>
        <v>1.8580286281179212</v>
      </c>
      <c r="K12">
        <f t="shared" si="4"/>
        <v>745.09501275510218</v>
      </c>
      <c r="L12">
        <f t="shared" si="2"/>
        <v>279.00929846938777</v>
      </c>
      <c r="M12">
        <f t="shared" si="3"/>
        <v>42.296441326530605</v>
      </c>
    </row>
    <row r="13" spans="1:13" x14ac:dyDescent="0.25">
      <c r="A13" s="6" t="s">
        <v>11</v>
      </c>
      <c r="B13" s="6">
        <v>64</v>
      </c>
      <c r="C13" s="6">
        <v>1.2</v>
      </c>
      <c r="D13" s="6">
        <v>14.6</v>
      </c>
      <c r="E13">
        <f t="shared" si="0"/>
        <v>26.599999999999998</v>
      </c>
      <c r="F13">
        <f t="shared" si="1"/>
        <v>75.627869897959144</v>
      </c>
      <c r="K13">
        <f t="shared" si="4"/>
        <v>2124.8807270408165</v>
      </c>
      <c r="L13">
        <f t="shared" si="2"/>
        <v>279.00929846938777</v>
      </c>
      <c r="M13">
        <f t="shared" si="3"/>
        <v>10.913584183673471</v>
      </c>
    </row>
    <row r="14" spans="1:13" x14ac:dyDescent="0.25">
      <c r="A14" s="2" t="s">
        <v>12</v>
      </c>
      <c r="B14" s="2">
        <v>31.5</v>
      </c>
      <c r="C14" s="2">
        <v>0.3</v>
      </c>
      <c r="D14" s="2">
        <v>22.3</v>
      </c>
      <c r="E14">
        <f t="shared" si="0"/>
        <v>18.033333333333335</v>
      </c>
      <c r="F14">
        <f t="shared" si="1"/>
        <v>1.6838151927438098E-2</v>
      </c>
      <c r="K14">
        <f t="shared" si="4"/>
        <v>184.8628698979592</v>
      </c>
      <c r="L14">
        <f t="shared" si="2"/>
        <v>309.88572704081628</v>
      </c>
      <c r="M14">
        <f t="shared" si="3"/>
        <v>19.328584183673478</v>
      </c>
    </row>
    <row r="15" spans="1:13" x14ac:dyDescent="0.25">
      <c r="A15" s="2" t="s">
        <v>13</v>
      </c>
      <c r="B15" s="2">
        <v>39.200000000000003</v>
      </c>
      <c r="C15" s="2">
        <v>0</v>
      </c>
      <c r="D15" s="2">
        <v>18.3</v>
      </c>
      <c r="E15">
        <f t="shared" si="0"/>
        <v>19.166666666666668</v>
      </c>
      <c r="F15">
        <f t="shared" si="1"/>
        <v>1.5954095804988695</v>
      </c>
      <c r="K15">
        <f t="shared" si="4"/>
        <v>453.5378698979593</v>
      </c>
      <c r="L15">
        <f t="shared" si="2"/>
        <v>320.53786989795918</v>
      </c>
      <c r="M15">
        <f t="shared" si="3"/>
        <v>0.1571556122448986</v>
      </c>
    </row>
    <row r="16" spans="1:13" x14ac:dyDescent="0.25">
      <c r="A16" s="3" t="s">
        <v>14</v>
      </c>
      <c r="B16" s="3">
        <v>22.5</v>
      </c>
      <c r="C16" s="3">
        <v>1</v>
      </c>
      <c r="D16" s="3">
        <v>16.100000000000001</v>
      </c>
      <c r="E16">
        <f t="shared" si="0"/>
        <v>13.200000000000001</v>
      </c>
      <c r="F16">
        <f t="shared" si="1"/>
        <v>22.123584183673458</v>
      </c>
      <c r="K16">
        <f t="shared" si="4"/>
        <v>21.127155612244898</v>
      </c>
      <c r="L16">
        <f t="shared" si="2"/>
        <v>285.7307270408163</v>
      </c>
      <c r="M16">
        <f t="shared" si="3"/>
        <v>3.2528698979591781</v>
      </c>
    </row>
    <row r="17" spans="1:13" x14ac:dyDescent="0.25">
      <c r="A17" s="4" t="s">
        <v>15</v>
      </c>
      <c r="B17" s="4">
        <v>26.8</v>
      </c>
      <c r="C17" s="4">
        <v>2.2000000000000002</v>
      </c>
      <c r="D17" s="4">
        <v>23.9</v>
      </c>
      <c r="E17">
        <f t="shared" si="0"/>
        <v>17.633333333333333</v>
      </c>
      <c r="F17">
        <f t="shared" si="1"/>
        <v>7.3028628117914038E-2</v>
      </c>
      <c r="K17">
        <f t="shared" si="4"/>
        <v>79.146441326530621</v>
      </c>
      <c r="L17">
        <f t="shared" si="2"/>
        <v>246.60215561224493</v>
      </c>
      <c r="M17">
        <f t="shared" si="3"/>
        <v>35.957155612244883</v>
      </c>
    </row>
    <row r="18" spans="1:13" x14ac:dyDescent="0.25">
      <c r="A18" s="6" t="s">
        <v>16</v>
      </c>
      <c r="B18" s="6">
        <v>56.7</v>
      </c>
      <c r="C18" s="6">
        <v>1.4</v>
      </c>
      <c r="D18" s="6">
        <v>28.1</v>
      </c>
      <c r="E18">
        <f t="shared" si="0"/>
        <v>28.733333333333334</v>
      </c>
      <c r="F18">
        <f t="shared" si="1"/>
        <v>117.28374291383223</v>
      </c>
      <c r="K18">
        <f t="shared" si="4"/>
        <v>1505.1628698979596</v>
      </c>
      <c r="L18">
        <f t="shared" si="2"/>
        <v>272.36786989795922</v>
      </c>
      <c r="M18">
        <f t="shared" si="3"/>
        <v>103.96715561224492</v>
      </c>
    </row>
    <row r="19" spans="1:13" x14ac:dyDescent="0.25">
      <c r="A19" s="3" t="s">
        <v>17</v>
      </c>
      <c r="B19" s="3">
        <v>13.9</v>
      </c>
      <c r="C19" s="3">
        <v>1.6</v>
      </c>
      <c r="D19" s="3">
        <v>14.1</v>
      </c>
      <c r="E19">
        <f t="shared" si="0"/>
        <v>9.8666666666666671</v>
      </c>
      <c r="F19">
        <f t="shared" si="1"/>
        <v>64.591838151927433</v>
      </c>
      <c r="K19">
        <f t="shared" si="4"/>
        <v>16.028584183673466</v>
      </c>
      <c r="L19">
        <f t="shared" si="2"/>
        <v>265.80644132653055</v>
      </c>
      <c r="M19">
        <f t="shared" si="3"/>
        <v>14.4671556122449</v>
      </c>
    </row>
    <row r="20" spans="1:13" x14ac:dyDescent="0.25">
      <c r="A20" s="4" t="s">
        <v>18</v>
      </c>
      <c r="B20" s="4">
        <v>21.3</v>
      </c>
      <c r="C20" s="4">
        <v>0.6</v>
      </c>
      <c r="D20" s="4">
        <v>16.7</v>
      </c>
      <c r="E20">
        <f t="shared" si="0"/>
        <v>12.866666666666667</v>
      </c>
      <c r="F20">
        <f t="shared" si="1"/>
        <v>25.370409580498862</v>
      </c>
      <c r="K20">
        <f t="shared" si="4"/>
        <v>11.535727040816331</v>
      </c>
      <c r="L20">
        <f t="shared" si="2"/>
        <v>299.41358418367344</v>
      </c>
      <c r="M20">
        <f t="shared" si="3"/>
        <v>1.4485841836734707</v>
      </c>
    </row>
    <row r="21" spans="1:13" x14ac:dyDescent="0.25">
      <c r="A21" s="4" t="s">
        <v>19</v>
      </c>
      <c r="B21" s="4">
        <v>39.6</v>
      </c>
      <c r="C21" s="4">
        <v>0.3</v>
      </c>
      <c r="D21" s="4">
        <v>18.5</v>
      </c>
      <c r="E21">
        <f t="shared" si="0"/>
        <v>19.466666666666665</v>
      </c>
      <c r="F21">
        <f t="shared" si="1"/>
        <v>2.4432667233560044</v>
      </c>
      <c r="K21">
        <f t="shared" si="4"/>
        <v>470.7350127551021</v>
      </c>
      <c r="L21">
        <f t="shared" si="2"/>
        <v>309.88572704081628</v>
      </c>
      <c r="M21">
        <f t="shared" si="3"/>
        <v>0.35572704081632667</v>
      </c>
    </row>
    <row r="22" spans="1:13" x14ac:dyDescent="0.25">
      <c r="A22" s="6" t="s">
        <v>20</v>
      </c>
      <c r="B22" s="6">
        <v>47.2</v>
      </c>
      <c r="C22" s="6">
        <v>2.4</v>
      </c>
      <c r="D22" s="6">
        <v>17.2</v>
      </c>
      <c r="E22">
        <f t="shared" si="0"/>
        <v>22.266666666666666</v>
      </c>
      <c r="F22">
        <f t="shared" si="1"/>
        <v>19.036600056689334</v>
      </c>
      <c r="K22">
        <f t="shared" si="4"/>
        <v>858.28072704081649</v>
      </c>
      <c r="L22">
        <f t="shared" si="2"/>
        <v>240.3607270408163</v>
      </c>
      <c r="M22">
        <f t="shared" si="3"/>
        <v>0.49501275510204168</v>
      </c>
    </row>
    <row r="23" spans="1:13" x14ac:dyDescent="0.25">
      <c r="A23" s="4" t="s">
        <v>21</v>
      </c>
      <c r="B23" s="4">
        <v>66.400000000000006</v>
      </c>
      <c r="C23" s="4">
        <v>1.2</v>
      </c>
      <c r="D23" s="4">
        <v>10.5</v>
      </c>
      <c r="E23">
        <f t="shared" si="0"/>
        <v>26.033333333333335</v>
      </c>
      <c r="F23">
        <f t="shared" si="1"/>
        <v>66.093028628117949</v>
      </c>
      <c r="K23">
        <f t="shared" si="4"/>
        <v>2351.9035841836744</v>
      </c>
      <c r="L23">
        <f t="shared" si="2"/>
        <v>279.00929846938777</v>
      </c>
      <c r="M23">
        <f t="shared" si="3"/>
        <v>54.812869897959182</v>
      </c>
    </row>
    <row r="24" spans="1:13" x14ac:dyDescent="0.25">
      <c r="A24" s="6" t="s">
        <v>22</v>
      </c>
      <c r="B24" s="6">
        <v>22.6</v>
      </c>
      <c r="C24" s="6">
        <v>0.7</v>
      </c>
      <c r="D24" s="6">
        <v>19.399999999999999</v>
      </c>
      <c r="E24">
        <f t="shared" si="0"/>
        <v>14.233333333333334</v>
      </c>
      <c r="F24">
        <f t="shared" si="1"/>
        <v>13.470647675736954</v>
      </c>
      <c r="K24">
        <f t="shared" si="4"/>
        <v>22.056441326530628</v>
      </c>
      <c r="L24">
        <f t="shared" si="2"/>
        <v>295.96286989795919</v>
      </c>
      <c r="M24">
        <f t="shared" si="3"/>
        <v>2.2392984693877511</v>
      </c>
    </row>
    <row r="25" spans="1:13" x14ac:dyDescent="0.25">
      <c r="A25" s="4" t="s">
        <v>23</v>
      </c>
      <c r="B25" s="4">
        <v>33.4</v>
      </c>
      <c r="C25" s="4">
        <v>1.1000000000000001</v>
      </c>
      <c r="D25" s="4">
        <v>19.3</v>
      </c>
      <c r="E25">
        <f t="shared" si="0"/>
        <v>17.933333333333334</v>
      </c>
      <c r="F25">
        <f t="shared" si="1"/>
        <v>8.8577097505670944E-4</v>
      </c>
      <c r="K25">
        <f t="shared" si="4"/>
        <v>240.13929846938771</v>
      </c>
      <c r="L25">
        <f t="shared" si="2"/>
        <v>282.36001275510199</v>
      </c>
      <c r="M25">
        <f t="shared" si="3"/>
        <v>1.9500127551020432</v>
      </c>
    </row>
    <row r="26" spans="1:13" x14ac:dyDescent="0.25">
      <c r="A26" s="2" t="s">
        <v>24</v>
      </c>
      <c r="B26" s="2">
        <v>18.3</v>
      </c>
      <c r="C26" s="2">
        <v>0.2</v>
      </c>
      <c r="D26" s="2">
        <v>14.7</v>
      </c>
      <c r="E26">
        <f t="shared" si="0"/>
        <v>11.066666666666668</v>
      </c>
      <c r="F26">
        <f t="shared" si="1"/>
        <v>46.743266723355987</v>
      </c>
      <c r="K26">
        <f t="shared" si="4"/>
        <v>0.1571556122448986</v>
      </c>
      <c r="L26">
        <f t="shared" si="2"/>
        <v>313.41644132653062</v>
      </c>
      <c r="M26">
        <f t="shared" si="3"/>
        <v>10.262869897959188</v>
      </c>
    </row>
    <row r="27" spans="1:13" x14ac:dyDescent="0.25">
      <c r="A27" s="3" t="s">
        <v>25</v>
      </c>
      <c r="B27" s="3">
        <v>20.6</v>
      </c>
      <c r="C27" s="3">
        <v>0.3</v>
      </c>
      <c r="D27" s="3">
        <v>21.7</v>
      </c>
      <c r="E27">
        <f t="shared" si="0"/>
        <v>14.200000000000001</v>
      </c>
      <c r="F27">
        <f t="shared" si="1"/>
        <v>13.716441326530603</v>
      </c>
      <c r="K27">
        <f t="shared" si="4"/>
        <v>7.2707270408163351</v>
      </c>
      <c r="L27">
        <f t="shared" si="2"/>
        <v>309.88572704081628</v>
      </c>
      <c r="M27">
        <f t="shared" si="3"/>
        <v>14.41286989795918</v>
      </c>
    </row>
    <row r="28" spans="1:13" x14ac:dyDescent="0.25">
      <c r="A28" s="2" t="s">
        <v>26</v>
      </c>
      <c r="B28" s="2">
        <v>11.8</v>
      </c>
      <c r="C28" s="2">
        <v>0.2</v>
      </c>
      <c r="D28" s="2">
        <v>13.8</v>
      </c>
      <c r="E28">
        <f t="shared" si="0"/>
        <v>8.6</v>
      </c>
      <c r="F28">
        <f t="shared" si="1"/>
        <v>86.556441326530617</v>
      </c>
      <c r="K28">
        <f t="shared" si="4"/>
        <v>37.25358418367346</v>
      </c>
      <c r="L28">
        <f t="shared" si="2"/>
        <v>313.41644132653062</v>
      </c>
      <c r="M28">
        <f t="shared" si="3"/>
        <v>16.839298469387749</v>
      </c>
    </row>
    <row r="29" spans="1:13" x14ac:dyDescent="0.25">
      <c r="A29" s="11" t="s">
        <v>27</v>
      </c>
      <c r="B29" s="7">
        <v>80.5</v>
      </c>
      <c r="C29" s="7">
        <v>0.3</v>
      </c>
      <c r="D29" s="7">
        <v>21.1</v>
      </c>
      <c r="E29">
        <f t="shared" si="0"/>
        <v>33.966666666666669</v>
      </c>
      <c r="F29">
        <f t="shared" si="1"/>
        <v>258.02302862811797</v>
      </c>
      <c r="K29">
        <f t="shared" si="4"/>
        <v>3918.3128698979594</v>
      </c>
      <c r="L29">
        <f t="shared" si="2"/>
        <v>309.88572704081628</v>
      </c>
      <c r="M29">
        <f t="shared" si="3"/>
        <v>10.217155612244907</v>
      </c>
    </row>
    <row r="30" spans="1:13" ht="15.75" thickBot="1" x14ac:dyDescent="0.3">
      <c r="B30" t="s">
        <v>122</v>
      </c>
      <c r="C30" t="s">
        <v>123</v>
      </c>
      <c r="D30" t="s">
        <v>124</v>
      </c>
    </row>
    <row r="31" spans="1:13" ht="30" x14ac:dyDescent="0.25">
      <c r="A31" s="1" t="s">
        <v>135</v>
      </c>
      <c r="B31">
        <f>SUM(B2:B29)/28</f>
        <v>34.971428571428568</v>
      </c>
      <c r="C31">
        <f>SUM(C2:C29)/28</f>
        <v>1.0892857142857142</v>
      </c>
      <c r="D31">
        <f>SUM(D2:D29)/28</f>
        <v>17.650000000000002</v>
      </c>
      <c r="E31" s="79">
        <f>SUM(B2:D29)/28/3</f>
        <v>17.903571428571428</v>
      </c>
      <c r="F31" s="80"/>
      <c r="H31" t="s">
        <v>127</v>
      </c>
      <c r="I31">
        <f>SUM(K2:M29)</f>
        <v>24778.668928571435</v>
      </c>
    </row>
    <row r="32" spans="1:13" ht="24" thickBot="1" x14ac:dyDescent="0.4">
      <c r="E32" s="81" t="s">
        <v>76</v>
      </c>
      <c r="F32" s="59"/>
      <c r="L32" s="73" t="s">
        <v>132</v>
      </c>
    </row>
    <row r="33" spans="1:17" x14ac:dyDescent="0.25">
      <c r="A33" t="s">
        <v>129</v>
      </c>
      <c r="B33">
        <f>(B31-E31)^2</f>
        <v>291.31174744897947</v>
      </c>
      <c r="C33">
        <f>(C31-E31)^2</f>
        <v>282.72020408163263</v>
      </c>
      <c r="D33">
        <f>(D31-E31)^2</f>
        <v>6.4298469387753965E-2</v>
      </c>
      <c r="H33" t="s">
        <v>128</v>
      </c>
      <c r="I33">
        <f>SUM(B33:D33)</f>
        <v>574.09624999999983</v>
      </c>
    </row>
    <row r="35" spans="1:17" x14ac:dyDescent="0.25">
      <c r="H35" t="s">
        <v>130</v>
      </c>
      <c r="I35">
        <f>SUM(F2:F29)</f>
        <v>994.30742063492062</v>
      </c>
    </row>
    <row r="37" spans="1:17" x14ac:dyDescent="0.25">
      <c r="H37" t="s">
        <v>131</v>
      </c>
      <c r="I37">
        <f>I31-(I33+I35)</f>
        <v>23210.265257936513</v>
      </c>
    </row>
    <row r="41" spans="1:17" ht="15.75" thickBot="1" x14ac:dyDescent="0.3"/>
    <row r="42" spans="1:17" ht="18.75" x14ac:dyDescent="0.3">
      <c r="F42" s="66" t="s">
        <v>107</v>
      </c>
      <c r="G42" s="66" t="s">
        <v>108</v>
      </c>
      <c r="H42" s="66" t="s">
        <v>85</v>
      </c>
      <c r="I42" s="66" t="s">
        <v>109</v>
      </c>
      <c r="J42" s="66" t="s">
        <v>110</v>
      </c>
      <c r="M42" s="67"/>
      <c r="N42" s="68"/>
      <c r="O42" s="64"/>
      <c r="P42" s="64"/>
      <c r="Q42" s="64"/>
    </row>
    <row r="43" spans="1:17" ht="18" x14ac:dyDescent="0.25">
      <c r="F43" s="67" t="s">
        <v>133</v>
      </c>
      <c r="G43" s="69">
        <f>I33</f>
        <v>574.09624999999983</v>
      </c>
      <c r="H43" s="64">
        <v>2</v>
      </c>
      <c r="I43" s="64">
        <f>G43/H43</f>
        <v>287.04812499999991</v>
      </c>
      <c r="J43" s="82">
        <f>I43/I45</f>
        <v>0.66783376138709682</v>
      </c>
      <c r="K43" s="82" t="s">
        <v>136</v>
      </c>
    </row>
    <row r="44" spans="1:17" ht="18" x14ac:dyDescent="0.25">
      <c r="F44" s="64" t="s">
        <v>77</v>
      </c>
      <c r="G44" s="64">
        <f>I35</f>
        <v>994.30742063492062</v>
      </c>
      <c r="H44" s="64">
        <v>27</v>
      </c>
      <c r="I44" s="64">
        <f>G44/H44</f>
        <v>36.82620076425632</v>
      </c>
      <c r="J44" s="83">
        <f>I44/I45</f>
        <v>8.5678247067420082E-2</v>
      </c>
      <c r="K44" s="83" t="s">
        <v>137</v>
      </c>
    </row>
    <row r="45" spans="1:17" x14ac:dyDescent="0.25">
      <c r="F45" t="s">
        <v>134</v>
      </c>
      <c r="G45">
        <f>I37</f>
        <v>23210.265257936513</v>
      </c>
      <c r="H45">
        <f>2*27</f>
        <v>54</v>
      </c>
      <c r="I45">
        <f>G45/H45</f>
        <v>429.81972699882431</v>
      </c>
      <c r="J45" s="84"/>
      <c r="K45" s="84"/>
    </row>
    <row r="47" spans="1:17" ht="18.75" thickBot="1" x14ac:dyDescent="0.3">
      <c r="F47" s="70" t="s">
        <v>117</v>
      </c>
      <c r="G47" s="71">
        <f>I31</f>
        <v>24778.668928571435</v>
      </c>
      <c r="H47" s="70">
        <v>27</v>
      </c>
      <c r="I47" s="70"/>
      <c r="J47" s="70"/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3"/>
  <sheetViews>
    <sheetView tabSelected="1" topLeftCell="AE17" zoomScale="116" zoomScaleNormal="48" workbookViewId="0">
      <selection activeCell="AB2" sqref="AB2:AD29"/>
    </sheetView>
  </sheetViews>
  <sheetFormatPr defaultRowHeight="15" x14ac:dyDescent="0.25"/>
  <cols>
    <col min="3" max="3" width="12.140625" bestFit="1" customWidth="1"/>
    <col min="5" max="5" width="32.140625" bestFit="1" customWidth="1"/>
    <col min="6" max="6" width="14.7109375" bestFit="1" customWidth="1"/>
    <col min="7" max="7" width="14.5703125" bestFit="1" customWidth="1"/>
    <col min="10" max="10" width="20.140625" bestFit="1" customWidth="1"/>
    <col min="11" max="11" width="23.85546875" bestFit="1" customWidth="1"/>
    <col min="12" max="12" width="12.7109375" bestFit="1" customWidth="1"/>
    <col min="13" max="13" width="12.5703125" bestFit="1" customWidth="1"/>
    <col min="18" max="18" width="18.140625" bestFit="1" customWidth="1"/>
    <col min="19" max="19" width="14.5703125" bestFit="1" customWidth="1"/>
    <col min="20" max="20" width="15.140625" bestFit="1" customWidth="1"/>
    <col min="21" max="22" width="14" bestFit="1" customWidth="1"/>
    <col min="23" max="23" width="14.5703125" bestFit="1" customWidth="1"/>
    <col min="24" max="24" width="14" bestFit="1" customWidth="1"/>
    <col min="25" max="25" width="14.5703125" bestFit="1" customWidth="1"/>
    <col min="26" max="26" width="14" bestFit="1" customWidth="1"/>
  </cols>
  <sheetData>
    <row r="1" spans="1:37" ht="60" x14ac:dyDescent="0.25">
      <c r="A1" s="1">
        <v>2019</v>
      </c>
      <c r="B1" s="1" t="s">
        <v>29</v>
      </c>
      <c r="C1" s="1" t="s">
        <v>28</v>
      </c>
    </row>
    <row r="2" spans="1:37" ht="75" x14ac:dyDescent="0.25">
      <c r="A2" s="5" t="s">
        <v>0</v>
      </c>
      <c r="B2" s="3">
        <v>15.9</v>
      </c>
      <c r="C2" s="3">
        <v>12.2</v>
      </c>
      <c r="E2" t="s">
        <v>138</v>
      </c>
      <c r="O2" s="1">
        <v>2019</v>
      </c>
      <c r="P2" s="1" t="s">
        <v>29</v>
      </c>
      <c r="Q2" s="1" t="s">
        <v>32</v>
      </c>
      <c r="AB2" s="1">
        <v>2019</v>
      </c>
      <c r="AC2" s="1" t="s">
        <v>28</v>
      </c>
      <c r="AD2" s="1" t="s">
        <v>30</v>
      </c>
    </row>
    <row r="3" spans="1:37" ht="15.75" thickBot="1" x14ac:dyDescent="0.3">
      <c r="A3" s="4" t="s">
        <v>1</v>
      </c>
      <c r="B3" s="4">
        <v>13.2</v>
      </c>
      <c r="C3" s="4">
        <v>20.2</v>
      </c>
      <c r="O3" s="5" t="s">
        <v>0</v>
      </c>
      <c r="P3" s="3">
        <v>15.9</v>
      </c>
      <c r="Q3" s="3">
        <v>32.700000000000003</v>
      </c>
      <c r="R3" t="s">
        <v>138</v>
      </c>
      <c r="AB3" s="5" t="s">
        <v>0</v>
      </c>
      <c r="AC3" s="3">
        <v>12.2</v>
      </c>
      <c r="AD3" s="3">
        <v>0.9</v>
      </c>
      <c r="AF3" t="s">
        <v>138</v>
      </c>
    </row>
    <row r="4" spans="1:37" ht="15.75" thickBot="1" x14ac:dyDescent="0.3">
      <c r="A4" s="4" t="s">
        <v>2</v>
      </c>
      <c r="B4" s="4">
        <v>19.3</v>
      </c>
      <c r="C4" s="4">
        <v>18.2</v>
      </c>
      <c r="E4" s="13" t="s">
        <v>139</v>
      </c>
      <c r="F4" s="13"/>
      <c r="O4" s="4" t="s">
        <v>1</v>
      </c>
      <c r="P4" s="4">
        <v>13.2</v>
      </c>
      <c r="Q4" s="4">
        <v>56</v>
      </c>
      <c r="AB4" s="4" t="s">
        <v>1</v>
      </c>
      <c r="AC4" s="4">
        <v>20.2</v>
      </c>
      <c r="AD4" s="4">
        <v>3</v>
      </c>
    </row>
    <row r="5" spans="1:37" x14ac:dyDescent="0.25">
      <c r="A5" s="2" t="s">
        <v>3</v>
      </c>
      <c r="B5" s="2">
        <v>15.9</v>
      </c>
      <c r="C5" s="2">
        <v>10.6</v>
      </c>
      <c r="E5" t="s">
        <v>140</v>
      </c>
      <c r="F5">
        <v>0.2557125065490809</v>
      </c>
      <c r="G5" t="s">
        <v>152</v>
      </c>
      <c r="O5" s="4" t="s">
        <v>2</v>
      </c>
      <c r="P5" s="4">
        <v>19.3</v>
      </c>
      <c r="Q5" s="4">
        <v>32.9</v>
      </c>
      <c r="R5" s="88" t="s">
        <v>139</v>
      </c>
      <c r="S5" s="88"/>
      <c r="AB5" s="4" t="s">
        <v>2</v>
      </c>
      <c r="AC5" s="4">
        <v>18.2</v>
      </c>
      <c r="AD5" s="4">
        <v>2.2999999999999998</v>
      </c>
      <c r="AF5" s="88" t="s">
        <v>139</v>
      </c>
      <c r="AG5" s="88"/>
    </row>
    <row r="6" spans="1:37" x14ac:dyDescent="0.25">
      <c r="A6" s="3" t="s">
        <v>4</v>
      </c>
      <c r="B6" s="3">
        <v>18.5</v>
      </c>
      <c r="C6" s="3">
        <v>20.8</v>
      </c>
      <c r="E6" t="s">
        <v>141</v>
      </c>
      <c r="F6">
        <v>6.5388886005613753E-2</v>
      </c>
      <c r="G6" t="s">
        <v>153</v>
      </c>
      <c r="O6" s="2" t="s">
        <v>3</v>
      </c>
      <c r="P6" s="2">
        <v>15.9</v>
      </c>
      <c r="Q6" s="2">
        <v>11.8</v>
      </c>
      <c r="R6" s="85" t="s">
        <v>140</v>
      </c>
      <c r="S6" s="85">
        <v>3.8106859475660296E-2</v>
      </c>
      <c r="AB6" s="2" t="s">
        <v>3</v>
      </c>
      <c r="AC6" s="2">
        <v>10.6</v>
      </c>
      <c r="AD6" s="2">
        <v>0.5</v>
      </c>
      <c r="AF6" s="85" t="s">
        <v>140</v>
      </c>
      <c r="AG6" s="85">
        <v>0.4710000546103657</v>
      </c>
    </row>
    <row r="7" spans="1:37" x14ac:dyDescent="0.25">
      <c r="A7" s="2" t="s">
        <v>5</v>
      </c>
      <c r="B7" s="2">
        <v>21.1</v>
      </c>
      <c r="C7" s="2">
        <v>16.7</v>
      </c>
      <c r="E7" t="s">
        <v>142</v>
      </c>
      <c r="F7">
        <v>2.9442304698137356E-2</v>
      </c>
      <c r="G7" t="s">
        <v>154</v>
      </c>
      <c r="O7" s="3" t="s">
        <v>4</v>
      </c>
      <c r="P7" s="3">
        <v>18.5</v>
      </c>
      <c r="Q7" s="3">
        <v>13.1</v>
      </c>
      <c r="R7" s="85" t="s">
        <v>141</v>
      </c>
      <c r="S7" s="85">
        <v>1.452132739097721E-3</v>
      </c>
      <c r="AB7" s="3" t="s">
        <v>4</v>
      </c>
      <c r="AC7" s="3">
        <v>20.8</v>
      </c>
      <c r="AD7" s="3">
        <v>1.8</v>
      </c>
      <c r="AF7" s="85" t="s">
        <v>141</v>
      </c>
      <c r="AG7" s="85">
        <v>0.22184105144296748</v>
      </c>
    </row>
    <row r="8" spans="1:37" x14ac:dyDescent="0.25">
      <c r="A8" s="6" t="s">
        <v>6</v>
      </c>
      <c r="B8" s="6">
        <v>16.2</v>
      </c>
      <c r="C8" s="6">
        <v>18</v>
      </c>
      <c r="E8" t="s">
        <v>40</v>
      </c>
      <c r="F8">
        <v>3.9212434449129812</v>
      </c>
      <c r="G8" t="s">
        <v>155</v>
      </c>
      <c r="O8" s="2" t="s">
        <v>5</v>
      </c>
      <c r="P8" s="2">
        <v>21.1</v>
      </c>
      <c r="Q8" s="2">
        <v>31.7</v>
      </c>
      <c r="R8" s="85" t="s">
        <v>142</v>
      </c>
      <c r="S8" s="85">
        <v>-3.6953554463244671E-2</v>
      </c>
      <c r="AB8" s="2" t="s">
        <v>5</v>
      </c>
      <c r="AC8" s="2">
        <v>16.7</v>
      </c>
      <c r="AD8" s="2">
        <v>0.6</v>
      </c>
      <c r="AF8" s="85" t="s">
        <v>142</v>
      </c>
      <c r="AG8" s="85">
        <v>0.19071469350068618</v>
      </c>
    </row>
    <row r="9" spans="1:37" ht="15.75" thickBot="1" x14ac:dyDescent="0.3">
      <c r="A9" s="3" t="s">
        <v>7</v>
      </c>
      <c r="B9" s="3">
        <v>15.4</v>
      </c>
      <c r="C9" s="3">
        <v>18.399999999999999</v>
      </c>
      <c r="E9" s="12" t="s">
        <v>83</v>
      </c>
      <c r="F9" s="12">
        <v>28</v>
      </c>
      <c r="O9" s="6" t="s">
        <v>6</v>
      </c>
      <c r="P9" s="6">
        <v>16.2</v>
      </c>
      <c r="Q9" s="6">
        <v>30.9</v>
      </c>
      <c r="R9" s="85" t="s">
        <v>40</v>
      </c>
      <c r="S9" s="85">
        <v>4.0531509595377715</v>
      </c>
      <c r="AB9" s="6" t="s">
        <v>6</v>
      </c>
      <c r="AC9" s="6">
        <v>18</v>
      </c>
      <c r="AD9" s="6">
        <v>1.6</v>
      </c>
      <c r="AF9" s="85" t="s">
        <v>40</v>
      </c>
      <c r="AG9" s="85">
        <v>4.7495321373647084</v>
      </c>
    </row>
    <row r="10" spans="1:37" ht="15.75" thickBot="1" x14ac:dyDescent="0.3">
      <c r="A10" s="3" t="s">
        <v>8</v>
      </c>
      <c r="B10" s="3">
        <v>14.4</v>
      </c>
      <c r="C10" s="3">
        <v>19.100000000000001</v>
      </c>
      <c r="O10" s="3" t="s">
        <v>7</v>
      </c>
      <c r="P10" s="3">
        <v>15.4</v>
      </c>
      <c r="Q10" s="3">
        <v>33.4</v>
      </c>
      <c r="R10" s="86" t="s">
        <v>83</v>
      </c>
      <c r="S10" s="86">
        <v>28</v>
      </c>
      <c r="AB10" s="3" t="s">
        <v>7</v>
      </c>
      <c r="AC10" s="3">
        <v>18.399999999999999</v>
      </c>
      <c r="AD10" s="3">
        <v>1.6</v>
      </c>
      <c r="AF10" s="86" t="s">
        <v>83</v>
      </c>
      <c r="AG10" s="86">
        <v>27</v>
      </c>
    </row>
    <row r="11" spans="1:37" ht="15.75" thickBot="1" x14ac:dyDescent="0.3">
      <c r="A11" s="6" t="s">
        <v>9</v>
      </c>
      <c r="B11" s="6">
        <v>22.6</v>
      </c>
      <c r="C11" s="6">
        <v>20.6</v>
      </c>
      <c r="E11" t="s">
        <v>104</v>
      </c>
      <c r="O11" s="3" t="s">
        <v>8</v>
      </c>
      <c r="P11" s="3">
        <v>14.4</v>
      </c>
      <c r="Q11" s="3">
        <v>33.200000000000003</v>
      </c>
      <c r="AB11" s="3" t="s">
        <v>8</v>
      </c>
      <c r="AC11" s="3">
        <v>19.100000000000001</v>
      </c>
      <c r="AD11" s="3">
        <v>1.3</v>
      </c>
    </row>
    <row r="12" spans="1:37" ht="15.75" thickBot="1" x14ac:dyDescent="0.3">
      <c r="A12" s="3" t="s">
        <v>10</v>
      </c>
      <c r="B12" s="3">
        <v>11.4</v>
      </c>
      <c r="C12" s="3">
        <v>16</v>
      </c>
      <c r="E12" s="48"/>
      <c r="F12" s="48" t="s">
        <v>85</v>
      </c>
      <c r="G12" s="48" t="s">
        <v>108</v>
      </c>
      <c r="H12" s="48" t="s">
        <v>109</v>
      </c>
      <c r="I12" s="48" t="s">
        <v>110</v>
      </c>
      <c r="J12" s="48" t="s">
        <v>146</v>
      </c>
      <c r="O12" s="6" t="s">
        <v>9</v>
      </c>
      <c r="P12" s="6">
        <v>22.6</v>
      </c>
      <c r="Q12" s="6">
        <v>42</v>
      </c>
      <c r="R12" t="s">
        <v>104</v>
      </c>
      <c r="AB12" s="6" t="s">
        <v>9</v>
      </c>
      <c r="AC12" s="6">
        <v>20.6</v>
      </c>
      <c r="AD12" s="6">
        <v>0.7</v>
      </c>
      <c r="AF12" t="s">
        <v>104</v>
      </c>
    </row>
    <row r="13" spans="1:37" x14ac:dyDescent="0.25">
      <c r="A13" s="6" t="s">
        <v>11</v>
      </c>
      <c r="B13" s="6">
        <v>14.6</v>
      </c>
      <c r="C13" s="6">
        <v>20.100000000000001</v>
      </c>
      <c r="E13" t="s">
        <v>143</v>
      </c>
      <c r="F13">
        <v>1</v>
      </c>
      <c r="G13">
        <v>27.970095988901278</v>
      </c>
      <c r="H13">
        <v>27.970095988901278</v>
      </c>
      <c r="I13">
        <v>1.8190571572383092</v>
      </c>
      <c r="J13">
        <v>0.18905674497701819</v>
      </c>
      <c r="O13" s="3" t="s">
        <v>10</v>
      </c>
      <c r="P13" s="3">
        <v>11.4</v>
      </c>
      <c r="Q13" s="3">
        <v>45.2</v>
      </c>
      <c r="R13" s="87"/>
      <c r="S13" s="87" t="s">
        <v>85</v>
      </c>
      <c r="T13" s="87" t="s">
        <v>108</v>
      </c>
      <c r="U13" s="87" t="s">
        <v>109</v>
      </c>
      <c r="V13" s="87" t="s">
        <v>110</v>
      </c>
      <c r="W13" s="87" t="s">
        <v>146</v>
      </c>
      <c r="AB13" s="3" t="s">
        <v>10</v>
      </c>
      <c r="AC13" s="3">
        <v>16</v>
      </c>
      <c r="AD13" s="3">
        <v>1.2</v>
      </c>
      <c r="AF13" s="87"/>
      <c r="AG13" s="87" t="s">
        <v>85</v>
      </c>
      <c r="AH13" s="87" t="s">
        <v>108</v>
      </c>
      <c r="AI13" s="87" t="s">
        <v>109</v>
      </c>
      <c r="AJ13" s="87" t="s">
        <v>110</v>
      </c>
      <c r="AK13" s="87" t="s">
        <v>146</v>
      </c>
    </row>
    <row r="14" spans="1:37" x14ac:dyDescent="0.25">
      <c r="A14" s="2" t="s">
        <v>12</v>
      </c>
      <c r="B14" s="2">
        <v>22.3</v>
      </c>
      <c r="C14" s="2">
        <v>19.8</v>
      </c>
      <c r="E14" t="s">
        <v>144</v>
      </c>
      <c r="F14">
        <v>26</v>
      </c>
      <c r="G14">
        <v>399.77990401109867</v>
      </c>
      <c r="H14">
        <v>15.376150154273025</v>
      </c>
      <c r="O14" s="6" t="s">
        <v>11</v>
      </c>
      <c r="P14" s="6">
        <v>14.6</v>
      </c>
      <c r="Q14" s="6">
        <v>64</v>
      </c>
      <c r="R14" s="85" t="s">
        <v>143</v>
      </c>
      <c r="S14" s="85">
        <v>1</v>
      </c>
      <c r="T14" s="85">
        <v>0.62114977914905012</v>
      </c>
      <c r="U14" s="85">
        <v>0.62114977914905012</v>
      </c>
      <c r="V14" s="85">
        <v>3.7810356873633925E-2</v>
      </c>
      <c r="W14" s="85">
        <v>0.84733581540916381</v>
      </c>
      <c r="AB14" s="6" t="s">
        <v>11</v>
      </c>
      <c r="AC14" s="6">
        <v>20.100000000000001</v>
      </c>
      <c r="AD14" s="6">
        <v>1.2</v>
      </c>
      <c r="AF14" s="85" t="s">
        <v>143</v>
      </c>
      <c r="AG14" s="85">
        <v>1</v>
      </c>
      <c r="AH14" s="85">
        <v>160.77379708868079</v>
      </c>
      <c r="AI14" s="85">
        <v>160.77379708868079</v>
      </c>
      <c r="AJ14" s="85">
        <v>7.1271123931150289</v>
      </c>
      <c r="AK14" s="85">
        <v>1.3147939289601999E-2</v>
      </c>
    </row>
    <row r="15" spans="1:37" ht="15.75" thickBot="1" x14ac:dyDescent="0.3">
      <c r="A15" s="2" t="s">
        <v>13</v>
      </c>
      <c r="B15" s="2">
        <v>18.3</v>
      </c>
      <c r="C15" s="2">
        <v>14.2</v>
      </c>
      <c r="E15" s="12" t="s">
        <v>117</v>
      </c>
      <c r="F15" s="12">
        <v>27</v>
      </c>
      <c r="G15" s="12">
        <v>427.74999999999994</v>
      </c>
      <c r="H15" s="12"/>
      <c r="I15" s="12"/>
      <c r="J15" s="12"/>
      <c r="O15" s="2" t="s">
        <v>12</v>
      </c>
      <c r="P15" s="2">
        <v>22.3</v>
      </c>
      <c r="Q15" s="2">
        <v>31.5</v>
      </c>
      <c r="R15" s="85" t="s">
        <v>144</v>
      </c>
      <c r="S15" s="85">
        <v>26</v>
      </c>
      <c r="T15" s="85">
        <v>427.12885022085089</v>
      </c>
      <c r="U15" s="85">
        <v>16.428032700801957</v>
      </c>
      <c r="V15" s="85"/>
      <c r="W15" s="85"/>
      <c r="AB15" s="2" t="s">
        <v>12</v>
      </c>
      <c r="AC15" s="2">
        <v>19.8</v>
      </c>
      <c r="AD15" s="2">
        <v>0.3</v>
      </c>
      <c r="AF15" s="85" t="s">
        <v>144</v>
      </c>
      <c r="AG15" s="85">
        <v>25</v>
      </c>
      <c r="AH15" s="85">
        <v>563.95138809650439</v>
      </c>
      <c r="AI15" s="85">
        <v>22.558055523860176</v>
      </c>
      <c r="AJ15" s="85"/>
      <c r="AK15" s="85"/>
    </row>
    <row r="16" spans="1:37" ht="15.75" thickBot="1" x14ac:dyDescent="0.3">
      <c r="A16" s="3" t="s">
        <v>14</v>
      </c>
      <c r="B16" s="3">
        <v>16.100000000000001</v>
      </c>
      <c r="C16" s="3">
        <v>9.1</v>
      </c>
      <c r="O16" s="2" t="s">
        <v>13</v>
      </c>
      <c r="P16" s="2">
        <v>18.3</v>
      </c>
      <c r="Q16" s="2">
        <v>39.200000000000003</v>
      </c>
      <c r="R16" s="86" t="s">
        <v>117</v>
      </c>
      <c r="S16" s="86">
        <v>27</v>
      </c>
      <c r="T16" s="86">
        <v>427.74999999999994</v>
      </c>
      <c r="U16" s="86"/>
      <c r="V16" s="86"/>
      <c r="W16" s="86"/>
      <c r="AB16" s="2" t="s">
        <v>13</v>
      </c>
      <c r="AC16" s="2">
        <v>14.2</v>
      </c>
      <c r="AD16" s="2">
        <v>0</v>
      </c>
      <c r="AF16" s="86" t="s">
        <v>117</v>
      </c>
      <c r="AG16" s="86">
        <v>26</v>
      </c>
      <c r="AH16" s="86">
        <v>724.72518518518518</v>
      </c>
      <c r="AI16" s="86"/>
      <c r="AJ16" s="86"/>
      <c r="AK16" s="86"/>
    </row>
    <row r="17" spans="1:40" ht="15.75" thickBot="1" x14ac:dyDescent="0.3">
      <c r="A17" s="4" t="s">
        <v>15</v>
      </c>
      <c r="B17" s="4">
        <v>23.9</v>
      </c>
      <c r="C17" s="4">
        <v>22</v>
      </c>
      <c r="E17" s="48"/>
      <c r="F17" s="48" t="s">
        <v>147</v>
      </c>
      <c r="G17" s="48" t="s">
        <v>40</v>
      </c>
      <c r="H17" s="48" t="s">
        <v>86</v>
      </c>
      <c r="I17" s="48" t="s">
        <v>111</v>
      </c>
      <c r="J17" s="48" t="s">
        <v>148</v>
      </c>
      <c r="K17" s="48" t="s">
        <v>149</v>
      </c>
      <c r="L17" s="48" t="s">
        <v>150</v>
      </c>
      <c r="M17" s="48" t="s">
        <v>151</v>
      </c>
      <c r="O17" s="3" t="s">
        <v>14</v>
      </c>
      <c r="P17" s="3">
        <v>16.100000000000001</v>
      </c>
      <c r="Q17" s="3">
        <v>22.5</v>
      </c>
      <c r="AB17" s="3" t="s">
        <v>14</v>
      </c>
      <c r="AC17" s="3">
        <v>9.1</v>
      </c>
      <c r="AD17" s="3">
        <v>1</v>
      </c>
    </row>
    <row r="18" spans="1:40" x14ac:dyDescent="0.25">
      <c r="A18" s="6" t="s">
        <v>16</v>
      </c>
      <c r="B18" s="6">
        <v>28.1</v>
      </c>
      <c r="C18" s="6">
        <v>16.899999999999999</v>
      </c>
      <c r="E18" t="s">
        <v>145</v>
      </c>
      <c r="F18">
        <v>14.700514627996141</v>
      </c>
      <c r="G18">
        <v>2.3090151524963662</v>
      </c>
      <c r="H18">
        <v>6.3665734770526914</v>
      </c>
      <c r="I18">
        <v>9.6287792277362302E-7</v>
      </c>
      <c r="J18">
        <v>9.9542660077673979</v>
      </c>
      <c r="K18">
        <v>19.446763248224883</v>
      </c>
      <c r="L18">
        <v>9.9542660077673979</v>
      </c>
      <c r="M18">
        <v>19.446763248224883</v>
      </c>
      <c r="O18" s="4" t="s">
        <v>15</v>
      </c>
      <c r="P18" s="4">
        <v>23.9</v>
      </c>
      <c r="Q18" s="4">
        <v>26.8</v>
      </c>
      <c r="R18" s="87"/>
      <c r="S18" s="87" t="s">
        <v>147</v>
      </c>
      <c r="T18" s="87" t="s">
        <v>40</v>
      </c>
      <c r="U18" s="87" t="s">
        <v>86</v>
      </c>
      <c r="V18" s="87" t="s">
        <v>111</v>
      </c>
      <c r="W18" s="87" t="s">
        <v>148</v>
      </c>
      <c r="X18" s="87" t="s">
        <v>149</v>
      </c>
      <c r="Y18" s="87" t="s">
        <v>150</v>
      </c>
      <c r="Z18" s="87" t="s">
        <v>151</v>
      </c>
      <c r="AB18" s="4" t="s">
        <v>15</v>
      </c>
      <c r="AC18" s="4">
        <v>22</v>
      </c>
      <c r="AD18" s="4">
        <v>2.2000000000000002</v>
      </c>
      <c r="AF18" s="87"/>
      <c r="AG18" s="87" t="s">
        <v>147</v>
      </c>
      <c r="AH18" s="87" t="s">
        <v>40</v>
      </c>
      <c r="AI18" s="87" t="s">
        <v>86</v>
      </c>
      <c r="AJ18" s="87" t="s">
        <v>111</v>
      </c>
      <c r="AK18" s="87" t="s">
        <v>148</v>
      </c>
      <c r="AL18" s="87" t="s">
        <v>149</v>
      </c>
      <c r="AM18" s="87" t="s">
        <v>150</v>
      </c>
      <c r="AN18" s="87" t="s">
        <v>151</v>
      </c>
    </row>
    <row r="19" spans="1:40" ht="15.75" thickBot="1" x14ac:dyDescent="0.3">
      <c r="A19" s="3" t="s">
        <v>17</v>
      </c>
      <c r="B19" s="3">
        <v>14.1</v>
      </c>
      <c r="C19" s="3">
        <v>13.3</v>
      </c>
      <c r="E19" s="12" t="s">
        <v>28</v>
      </c>
      <c r="F19" s="12">
        <v>0.18697213134731297</v>
      </c>
      <c r="G19" s="12">
        <v>0.13862887727875092</v>
      </c>
      <c r="H19" s="12">
        <v>1.3487242702785138</v>
      </c>
      <c r="I19" s="12">
        <v>0.18905674497701822</v>
      </c>
      <c r="J19" s="12">
        <v>-9.7983606945169638E-2</v>
      </c>
      <c r="K19" s="12">
        <v>0.47192786963979561</v>
      </c>
      <c r="L19" s="12">
        <v>-9.7983606945169638E-2</v>
      </c>
      <c r="M19" s="12">
        <v>0.47192786963979561</v>
      </c>
      <c r="O19" s="6" t="s">
        <v>16</v>
      </c>
      <c r="P19" s="6">
        <v>28.1</v>
      </c>
      <c r="Q19" s="6">
        <v>56.7</v>
      </c>
      <c r="R19" s="85" t="s">
        <v>145</v>
      </c>
      <c r="S19" s="85">
        <v>17.346740260593759</v>
      </c>
      <c r="T19" s="85">
        <v>1.7375340016037484</v>
      </c>
      <c r="U19" s="85">
        <v>9.9835400312066831</v>
      </c>
      <c r="V19" s="85">
        <v>2.1940341487244081E-10</v>
      </c>
      <c r="W19" s="85">
        <v>13.775187969654301</v>
      </c>
      <c r="X19" s="85">
        <v>20.918292551533217</v>
      </c>
      <c r="Y19" s="85">
        <v>13.775187969654301</v>
      </c>
      <c r="Z19" s="85">
        <v>20.918292551533217</v>
      </c>
      <c r="AB19" s="6" t="s">
        <v>16</v>
      </c>
      <c r="AC19" s="6">
        <v>16.899999999999999</v>
      </c>
      <c r="AD19" s="6">
        <v>1.4</v>
      </c>
      <c r="AF19" s="85" t="s">
        <v>145</v>
      </c>
      <c r="AG19" s="85">
        <v>11.835903882415504</v>
      </c>
      <c r="AH19" s="85">
        <v>1.6363259315685499</v>
      </c>
      <c r="AI19" s="85">
        <v>7.2332190391127273</v>
      </c>
      <c r="AJ19" s="85">
        <v>1.4017995225361176E-7</v>
      </c>
      <c r="AK19" s="85">
        <v>8.4658275414801221</v>
      </c>
      <c r="AL19" s="85">
        <v>15.205980223350887</v>
      </c>
      <c r="AM19" s="85">
        <v>8.4658275414801221</v>
      </c>
      <c r="AN19" s="85">
        <v>15.205980223350887</v>
      </c>
    </row>
    <row r="20" spans="1:40" ht="15.75" thickBot="1" x14ac:dyDescent="0.3">
      <c r="A20" s="4" t="s">
        <v>18</v>
      </c>
      <c r="B20" s="4">
        <v>16.7</v>
      </c>
      <c r="C20" s="4">
        <v>21.2</v>
      </c>
      <c r="O20" s="3" t="s">
        <v>17</v>
      </c>
      <c r="P20" s="3">
        <v>14.1</v>
      </c>
      <c r="Q20" s="3">
        <v>13.9</v>
      </c>
      <c r="R20" s="86" t="s">
        <v>32</v>
      </c>
      <c r="S20" s="86">
        <v>8.6716428751785653E-3</v>
      </c>
      <c r="T20" s="86">
        <v>4.459600913486321E-2</v>
      </c>
      <c r="U20" s="86">
        <v>0.19444885413299134</v>
      </c>
      <c r="V20" s="86">
        <v>0.84733581540916503</v>
      </c>
      <c r="W20" s="86">
        <v>-8.2996766747519254E-2</v>
      </c>
      <c r="X20" s="86">
        <v>0.10034005249787638</v>
      </c>
      <c r="Y20" s="86">
        <v>-8.2996766747519254E-2</v>
      </c>
      <c r="Z20" s="86">
        <v>0.10034005249787638</v>
      </c>
      <c r="AB20" s="3" t="s">
        <v>17</v>
      </c>
      <c r="AC20" s="3">
        <v>13.3</v>
      </c>
      <c r="AD20" s="3">
        <v>1.6</v>
      </c>
      <c r="AF20" s="86" t="s">
        <v>30</v>
      </c>
      <c r="AG20" s="86">
        <v>3.2394236812841459</v>
      </c>
      <c r="AH20" s="86">
        <v>1.2134194413585069</v>
      </c>
      <c r="AI20" s="86">
        <v>2.669665221168195</v>
      </c>
      <c r="AJ20" s="86">
        <v>1.3147939289601996E-2</v>
      </c>
      <c r="AK20" s="86">
        <v>0.74033956114593158</v>
      </c>
      <c r="AL20" s="86">
        <v>5.7385078014223598</v>
      </c>
      <c r="AM20" s="86">
        <v>0.74033956114593158</v>
      </c>
      <c r="AN20" s="86">
        <v>5.7385078014223598</v>
      </c>
    </row>
    <row r="21" spans="1:40" x14ac:dyDescent="0.25">
      <c r="A21" s="4" t="s">
        <v>19</v>
      </c>
      <c r="B21" s="4">
        <v>18.5</v>
      </c>
      <c r="C21" s="4">
        <v>13.2</v>
      </c>
      <c r="O21" s="4" t="s">
        <v>18</v>
      </c>
      <c r="P21" s="4">
        <v>16.7</v>
      </c>
      <c r="Q21" s="4">
        <v>21.3</v>
      </c>
      <c r="AB21" s="4" t="s">
        <v>18</v>
      </c>
      <c r="AC21" s="4">
        <v>21.2</v>
      </c>
      <c r="AD21" s="4">
        <v>0.6</v>
      </c>
    </row>
    <row r="22" spans="1:40" x14ac:dyDescent="0.25">
      <c r="A22" s="6" t="s">
        <v>20</v>
      </c>
      <c r="B22" s="6">
        <v>17.2</v>
      </c>
      <c r="C22" s="6">
        <v>12.2</v>
      </c>
      <c r="O22" s="4" t="s">
        <v>19</v>
      </c>
      <c r="P22" s="4">
        <v>18.5</v>
      </c>
      <c r="Q22" s="4">
        <v>39.6</v>
      </c>
      <c r="AB22" s="4" t="s">
        <v>19</v>
      </c>
      <c r="AC22" s="4">
        <v>13.2</v>
      </c>
      <c r="AD22" s="4">
        <v>0.3</v>
      </c>
    </row>
    <row r="23" spans="1:40" x14ac:dyDescent="0.25">
      <c r="A23" s="4" t="s">
        <v>21</v>
      </c>
      <c r="B23" s="4">
        <v>10.5</v>
      </c>
      <c r="C23" s="4">
        <v>15.7</v>
      </c>
      <c r="O23" s="6" t="s">
        <v>20</v>
      </c>
      <c r="P23" s="6">
        <v>17.2</v>
      </c>
      <c r="Q23" s="6">
        <v>47.2</v>
      </c>
      <c r="AB23" s="6" t="s">
        <v>20</v>
      </c>
      <c r="AC23" s="6">
        <v>12.2</v>
      </c>
      <c r="AD23" s="6">
        <v>2.4</v>
      </c>
    </row>
    <row r="24" spans="1:40" x14ac:dyDescent="0.25">
      <c r="A24" s="6" t="s">
        <v>22</v>
      </c>
      <c r="B24" s="6">
        <v>19.399999999999999</v>
      </c>
      <c r="C24" s="6">
        <v>15.4</v>
      </c>
      <c r="O24" s="4" t="s">
        <v>21</v>
      </c>
      <c r="P24" s="4">
        <v>10.5</v>
      </c>
      <c r="Q24" s="4">
        <v>66.400000000000006</v>
      </c>
      <c r="AB24" s="4" t="s">
        <v>21</v>
      </c>
      <c r="AC24" s="4">
        <v>15.7</v>
      </c>
      <c r="AD24" s="4">
        <v>1.2</v>
      </c>
    </row>
    <row r="25" spans="1:40" x14ac:dyDescent="0.25">
      <c r="A25" s="4" t="s">
        <v>23</v>
      </c>
      <c r="B25" s="4">
        <v>19.3</v>
      </c>
      <c r="C25" s="4">
        <v>20.399999999999999</v>
      </c>
      <c r="O25" s="6" t="s">
        <v>22</v>
      </c>
      <c r="P25" s="6">
        <v>19.399999999999999</v>
      </c>
      <c r="Q25" s="6">
        <v>22.6</v>
      </c>
      <c r="AB25" s="6" t="s">
        <v>22</v>
      </c>
      <c r="AC25" s="6">
        <v>15.4</v>
      </c>
      <c r="AD25" s="6">
        <v>0.7</v>
      </c>
    </row>
    <row r="26" spans="1:40" x14ac:dyDescent="0.25">
      <c r="A26" s="2" t="s">
        <v>24</v>
      </c>
      <c r="B26" s="2">
        <v>14.7</v>
      </c>
      <c r="C26" s="2">
        <v>4.9000000000000004</v>
      </c>
      <c r="O26" s="4" t="s">
        <v>23</v>
      </c>
      <c r="P26" s="4">
        <v>19.3</v>
      </c>
      <c r="Q26" s="4">
        <v>33.4</v>
      </c>
      <c r="AB26" s="4" t="s">
        <v>23</v>
      </c>
      <c r="AC26" s="4">
        <v>20.399999999999999</v>
      </c>
      <c r="AD26" s="4">
        <v>1.1000000000000001</v>
      </c>
    </row>
    <row r="27" spans="1:40" x14ac:dyDescent="0.25">
      <c r="A27" s="3" t="s">
        <v>25</v>
      </c>
      <c r="B27" s="3">
        <v>21.7</v>
      </c>
      <c r="C27" s="3">
        <v>4.7</v>
      </c>
      <c r="O27" s="2" t="s">
        <v>24</v>
      </c>
      <c r="P27" s="2">
        <v>14.7</v>
      </c>
      <c r="Q27" s="2">
        <v>18.3</v>
      </c>
      <c r="AB27" s="2" t="s">
        <v>24</v>
      </c>
      <c r="AC27" s="2">
        <v>4.9000000000000004</v>
      </c>
      <c r="AD27" s="2">
        <v>0.2</v>
      </c>
    </row>
    <row r="28" spans="1:40" x14ac:dyDescent="0.25">
      <c r="A28" s="2" t="s">
        <v>26</v>
      </c>
      <c r="B28" s="2">
        <v>13.8</v>
      </c>
      <c r="C28" s="2">
        <v>3.5</v>
      </c>
      <c r="O28" s="3" t="s">
        <v>25</v>
      </c>
      <c r="P28" s="3">
        <v>21.7</v>
      </c>
      <c r="Q28" s="3">
        <v>20.6</v>
      </c>
      <c r="AB28" s="3" t="s">
        <v>25</v>
      </c>
      <c r="AC28" s="3">
        <v>4.7</v>
      </c>
      <c r="AD28" s="3">
        <v>0.3</v>
      </c>
    </row>
    <row r="29" spans="1:40" x14ac:dyDescent="0.25">
      <c r="O29" s="2" t="s">
        <v>26</v>
      </c>
      <c r="P29" s="2">
        <v>13.8</v>
      </c>
      <c r="Q29" s="2">
        <v>11.8</v>
      </c>
      <c r="AB29" s="2" t="s">
        <v>26</v>
      </c>
      <c r="AC29" s="2">
        <v>3.5</v>
      </c>
      <c r="AD29" s="2">
        <v>0.2</v>
      </c>
    </row>
    <row r="35" spans="1:28" ht="75" x14ac:dyDescent="0.25">
      <c r="A35" s="1">
        <v>2019</v>
      </c>
      <c r="B35" s="1" t="s">
        <v>29</v>
      </c>
      <c r="C35" s="1" t="s">
        <v>31</v>
      </c>
    </row>
    <row r="36" spans="1:28" ht="60" x14ac:dyDescent="0.25">
      <c r="A36" s="5" t="s">
        <v>0</v>
      </c>
      <c r="B36" s="3">
        <v>15.9</v>
      </c>
      <c r="C36" s="3">
        <v>23.8</v>
      </c>
      <c r="T36" s="1">
        <v>2019</v>
      </c>
      <c r="U36" s="1" t="s">
        <v>31</v>
      </c>
      <c r="V36" s="1" t="s">
        <v>32</v>
      </c>
    </row>
    <row r="37" spans="1:28" x14ac:dyDescent="0.25">
      <c r="A37" s="4" t="s">
        <v>1</v>
      </c>
      <c r="B37" s="4">
        <v>13.2</v>
      </c>
      <c r="C37" s="4">
        <v>46.4</v>
      </c>
      <c r="E37" t="s">
        <v>138</v>
      </c>
      <c r="T37" s="5" t="s">
        <v>0</v>
      </c>
      <c r="U37" s="3">
        <v>23.8</v>
      </c>
      <c r="V37" s="3">
        <v>32.700000000000003</v>
      </c>
      <c r="W37" t="s">
        <v>138</v>
      </c>
    </row>
    <row r="38" spans="1:28" ht="15.75" thickBot="1" x14ac:dyDescent="0.3">
      <c r="A38" s="4" t="s">
        <v>2</v>
      </c>
      <c r="B38" s="4">
        <v>19.3</v>
      </c>
      <c r="C38" s="4">
        <v>51.1</v>
      </c>
      <c r="T38" s="4" t="s">
        <v>1</v>
      </c>
      <c r="U38" s="4">
        <v>46.4</v>
      </c>
      <c r="V38" s="4">
        <v>56</v>
      </c>
    </row>
    <row r="39" spans="1:28" x14ac:dyDescent="0.25">
      <c r="A39" s="2" t="s">
        <v>3</v>
      </c>
      <c r="B39" s="2">
        <v>15.9</v>
      </c>
      <c r="C39" s="2">
        <v>47.6</v>
      </c>
      <c r="E39" s="88" t="s">
        <v>139</v>
      </c>
      <c r="F39" s="88"/>
      <c r="T39" s="4" t="s">
        <v>2</v>
      </c>
      <c r="U39" s="4">
        <v>51.1</v>
      </c>
      <c r="V39" s="4">
        <v>32.9</v>
      </c>
      <c r="W39" s="88" t="s">
        <v>139</v>
      </c>
      <c r="X39" s="88"/>
    </row>
    <row r="40" spans="1:28" ht="17.25" x14ac:dyDescent="0.3">
      <c r="A40" s="3" t="s">
        <v>4</v>
      </c>
      <c r="B40" s="3">
        <v>18.5</v>
      </c>
      <c r="C40" s="3">
        <v>38.200000000000003</v>
      </c>
      <c r="E40" s="85" t="s">
        <v>140</v>
      </c>
      <c r="F40" s="85">
        <v>5.9318039333038398E-2</v>
      </c>
      <c r="G40" s="89" t="s">
        <v>163</v>
      </c>
      <c r="T40" s="2" t="s">
        <v>3</v>
      </c>
      <c r="U40" s="2">
        <v>47.6</v>
      </c>
      <c r="V40" s="2">
        <v>11.8</v>
      </c>
      <c r="W40" s="85" t="s">
        <v>140</v>
      </c>
      <c r="X40" s="85">
        <v>0.18204242035004212</v>
      </c>
    </row>
    <row r="41" spans="1:28" ht="17.25" x14ac:dyDescent="0.3">
      <c r="A41" s="2" t="s">
        <v>5</v>
      </c>
      <c r="B41" s="2">
        <v>21.1</v>
      </c>
      <c r="C41" s="2">
        <v>49.3</v>
      </c>
      <c r="E41" s="85" t="s">
        <v>141</v>
      </c>
      <c r="F41" s="85">
        <v>3.5186297903158901E-3</v>
      </c>
      <c r="G41" s="89" t="s">
        <v>164</v>
      </c>
      <c r="T41" s="3" t="s">
        <v>4</v>
      </c>
      <c r="U41" s="3">
        <v>38.200000000000003</v>
      </c>
      <c r="V41" s="3">
        <v>13.1</v>
      </c>
      <c r="W41" s="85" t="s">
        <v>141</v>
      </c>
      <c r="X41" s="85">
        <v>3.3139442806901433E-2</v>
      </c>
    </row>
    <row r="42" spans="1:28" ht="17.25" x14ac:dyDescent="0.3">
      <c r="A42" s="6" t="s">
        <v>6</v>
      </c>
      <c r="B42" s="6">
        <v>16.2</v>
      </c>
      <c r="C42" s="6">
        <v>36.4</v>
      </c>
      <c r="E42" s="85" t="s">
        <v>142</v>
      </c>
      <c r="F42" s="85">
        <v>-3.48075767562104E-2</v>
      </c>
      <c r="G42" s="89" t="s">
        <v>165</v>
      </c>
      <c r="T42" s="2" t="s">
        <v>5</v>
      </c>
      <c r="U42" s="2">
        <v>49.3</v>
      </c>
      <c r="V42" s="2">
        <v>31.7</v>
      </c>
      <c r="W42" s="85" t="s">
        <v>142</v>
      </c>
      <c r="X42" s="85">
        <v>-4.0475017005254374E-3</v>
      </c>
    </row>
    <row r="43" spans="1:28" ht="17.25" x14ac:dyDescent="0.3">
      <c r="A43" s="3" t="s">
        <v>7</v>
      </c>
      <c r="B43" s="3">
        <v>15.4</v>
      </c>
      <c r="C43" s="3">
        <v>37.700000000000003</v>
      </c>
      <c r="E43" s="85" t="s">
        <v>40</v>
      </c>
      <c r="F43" s="85">
        <v>4.0489547849138301</v>
      </c>
      <c r="G43" s="89" t="s">
        <v>166</v>
      </c>
      <c r="T43" s="6" t="s">
        <v>6</v>
      </c>
      <c r="U43" s="6">
        <v>36.4</v>
      </c>
      <c r="V43" s="6">
        <v>30.9</v>
      </c>
      <c r="W43" s="85" t="s">
        <v>40</v>
      </c>
      <c r="X43" s="85">
        <v>8.698665002571607</v>
      </c>
    </row>
    <row r="44" spans="1:28" ht="15.75" thickBot="1" x14ac:dyDescent="0.3">
      <c r="A44" s="3" t="s">
        <v>8</v>
      </c>
      <c r="B44" s="3">
        <v>14.4</v>
      </c>
      <c r="C44" s="3">
        <v>34.799999999999997</v>
      </c>
      <c r="E44" s="86" t="s">
        <v>83</v>
      </c>
      <c r="F44" s="86">
        <v>28</v>
      </c>
      <c r="T44" s="3" t="s">
        <v>7</v>
      </c>
      <c r="U44" s="3">
        <v>37.700000000000003</v>
      </c>
      <c r="V44" s="3">
        <v>33.4</v>
      </c>
      <c r="W44" s="86" t="s">
        <v>83</v>
      </c>
      <c r="X44" s="86">
        <v>28</v>
      </c>
    </row>
    <row r="45" spans="1:28" ht="15.75" thickBot="1" x14ac:dyDescent="0.3">
      <c r="A45" s="6" t="s">
        <v>9</v>
      </c>
      <c r="B45" s="6">
        <v>22.6</v>
      </c>
      <c r="C45" s="6">
        <v>45.8</v>
      </c>
      <c r="T45" s="3" t="s">
        <v>8</v>
      </c>
      <c r="U45" s="3">
        <v>34.799999999999997</v>
      </c>
      <c r="V45" s="3">
        <v>33.200000000000003</v>
      </c>
    </row>
    <row r="46" spans="1:28" ht="15.75" thickBot="1" x14ac:dyDescent="0.3">
      <c r="A46" s="3" t="s">
        <v>10</v>
      </c>
      <c r="B46" s="3">
        <v>11.4</v>
      </c>
      <c r="C46" s="3">
        <v>37.4</v>
      </c>
      <c r="E46" t="s">
        <v>104</v>
      </c>
      <c r="T46" s="6" t="s">
        <v>9</v>
      </c>
      <c r="U46" s="6">
        <v>45.8</v>
      </c>
      <c r="V46" s="6">
        <v>42</v>
      </c>
      <c r="W46" t="s">
        <v>104</v>
      </c>
      <c r="AB46" s="87" t="s">
        <v>146</v>
      </c>
    </row>
    <row r="47" spans="1:28" x14ac:dyDescent="0.25">
      <c r="A47" s="6" t="s">
        <v>11</v>
      </c>
      <c r="B47" s="6">
        <v>14.6</v>
      </c>
      <c r="C47" s="6">
        <v>42.5</v>
      </c>
      <c r="E47" s="87"/>
      <c r="F47" s="87" t="s">
        <v>85</v>
      </c>
      <c r="G47" s="87" t="s">
        <v>108</v>
      </c>
      <c r="H47" s="87" t="s">
        <v>109</v>
      </c>
      <c r="I47" s="87" t="s">
        <v>110</v>
      </c>
      <c r="J47" s="87" t="s">
        <v>146</v>
      </c>
      <c r="T47" s="3" t="s">
        <v>10</v>
      </c>
      <c r="U47" s="3">
        <v>37.4</v>
      </c>
      <c r="V47" s="3">
        <v>45.2</v>
      </c>
      <c r="W47" s="87"/>
      <c r="X47" s="87" t="s">
        <v>85</v>
      </c>
      <c r="Y47" s="87" t="s">
        <v>108</v>
      </c>
      <c r="Z47" s="87" t="s">
        <v>109</v>
      </c>
      <c r="AA47" s="87" t="s">
        <v>110</v>
      </c>
      <c r="AB47" s="85">
        <v>0.35385408862910039</v>
      </c>
    </row>
    <row r="48" spans="1:28" x14ac:dyDescent="0.25">
      <c r="A48" s="2" t="s">
        <v>12</v>
      </c>
      <c r="B48" s="2">
        <v>22.3</v>
      </c>
      <c r="C48" s="2">
        <v>53.3</v>
      </c>
      <c r="E48" s="85" t="s">
        <v>143</v>
      </c>
      <c r="F48" s="85">
        <v>1</v>
      </c>
      <c r="G48" s="85">
        <v>1.5050938928076221</v>
      </c>
      <c r="H48" s="85">
        <v>1.5050938928076221</v>
      </c>
      <c r="I48" s="85">
        <v>9.1807410838962891E-2</v>
      </c>
      <c r="J48" s="85">
        <v>0.76430296663770936</v>
      </c>
      <c r="T48" s="6" t="s">
        <v>11</v>
      </c>
      <c r="U48" s="6">
        <v>42.5</v>
      </c>
      <c r="V48" s="6">
        <v>64</v>
      </c>
      <c r="W48" s="85" t="s">
        <v>143</v>
      </c>
      <c r="X48" s="85">
        <v>1</v>
      </c>
      <c r="Y48" s="85">
        <v>67.431049356076528</v>
      </c>
      <c r="Z48" s="85">
        <v>67.431049356076528</v>
      </c>
      <c r="AA48" s="85">
        <v>0.89115799229707948</v>
      </c>
      <c r="AB48" s="85"/>
    </row>
    <row r="49" spans="1:31" ht="15.75" thickBot="1" x14ac:dyDescent="0.3">
      <c r="A49" s="2" t="s">
        <v>13</v>
      </c>
      <c r="B49" s="2">
        <v>18.3</v>
      </c>
      <c r="C49" s="2">
        <v>45.4</v>
      </c>
      <c r="E49" s="85" t="s">
        <v>144</v>
      </c>
      <c r="F49" s="85">
        <v>26</v>
      </c>
      <c r="G49" s="85">
        <v>426.24490610719232</v>
      </c>
      <c r="H49" s="85">
        <v>16.394034850276629</v>
      </c>
      <c r="I49" s="85"/>
      <c r="J49" s="85"/>
      <c r="T49" s="2" t="s">
        <v>12</v>
      </c>
      <c r="U49" s="2">
        <v>53.3</v>
      </c>
      <c r="V49" s="2">
        <v>31.5</v>
      </c>
      <c r="W49" s="85" t="s">
        <v>144</v>
      </c>
      <c r="X49" s="85">
        <v>26</v>
      </c>
      <c r="Y49" s="85">
        <v>1967.3360935010664</v>
      </c>
      <c r="Z49" s="85">
        <v>75.666772826964092</v>
      </c>
      <c r="AA49" s="85"/>
      <c r="AB49" s="86"/>
    </row>
    <row r="50" spans="1:31" ht="15.75" thickBot="1" x14ac:dyDescent="0.3">
      <c r="A50" s="3" t="s">
        <v>14</v>
      </c>
      <c r="B50" s="3">
        <v>16.100000000000001</v>
      </c>
      <c r="C50" s="3">
        <v>54.3</v>
      </c>
      <c r="E50" s="86" t="s">
        <v>117</v>
      </c>
      <c r="F50" s="86">
        <v>27</v>
      </c>
      <c r="G50" s="86">
        <v>427.74999999999994</v>
      </c>
      <c r="H50" s="86"/>
      <c r="I50" s="86"/>
      <c r="J50" s="86"/>
      <c r="T50" s="2" t="s">
        <v>13</v>
      </c>
      <c r="U50" s="2">
        <v>45.4</v>
      </c>
      <c r="V50" s="2">
        <v>39.200000000000003</v>
      </c>
      <c r="W50" s="86" t="s">
        <v>117</v>
      </c>
      <c r="X50" s="86">
        <v>27</v>
      </c>
      <c r="Y50" s="86">
        <v>2034.767142857143</v>
      </c>
      <c r="Z50" s="86"/>
      <c r="AA50" s="86"/>
    </row>
    <row r="51" spans="1:31" ht="15.75" thickBot="1" x14ac:dyDescent="0.3">
      <c r="A51" s="4" t="s">
        <v>15</v>
      </c>
      <c r="B51" s="4">
        <v>23.9</v>
      </c>
      <c r="C51" s="4">
        <v>49.3</v>
      </c>
      <c r="T51" s="3" t="s">
        <v>14</v>
      </c>
      <c r="U51" s="3">
        <v>54.3</v>
      </c>
      <c r="V51" s="3">
        <v>22.5</v>
      </c>
      <c r="AB51" s="87" t="s">
        <v>148</v>
      </c>
    </row>
    <row r="52" spans="1:31" x14ac:dyDescent="0.25">
      <c r="A52" s="6" t="s">
        <v>16</v>
      </c>
      <c r="B52" s="6">
        <v>28.1</v>
      </c>
      <c r="C52" s="6">
        <v>43.8</v>
      </c>
      <c r="E52" s="87"/>
      <c r="F52" s="87" t="s">
        <v>147</v>
      </c>
      <c r="G52" s="87" t="s">
        <v>40</v>
      </c>
      <c r="H52" s="87" t="s">
        <v>86</v>
      </c>
      <c r="I52" s="87" t="s">
        <v>111</v>
      </c>
      <c r="J52" s="87" t="s">
        <v>148</v>
      </c>
      <c r="K52" s="87" t="s">
        <v>149</v>
      </c>
      <c r="L52" s="87" t="s">
        <v>150</v>
      </c>
      <c r="M52" s="87" t="s">
        <v>151</v>
      </c>
      <c r="T52" s="4" t="s">
        <v>15</v>
      </c>
      <c r="U52" s="4">
        <v>49.3</v>
      </c>
      <c r="V52" s="4">
        <v>26.8</v>
      </c>
      <c r="W52" s="87"/>
      <c r="X52" s="87" t="s">
        <v>147</v>
      </c>
      <c r="Y52" s="87" t="s">
        <v>40</v>
      </c>
      <c r="Z52" s="87" t="s">
        <v>86</v>
      </c>
      <c r="AA52" s="87" t="s">
        <v>111</v>
      </c>
      <c r="AB52" s="85">
        <v>33.353783738871826</v>
      </c>
      <c r="AC52" s="87" t="s">
        <v>149</v>
      </c>
      <c r="AD52" s="87" t="s">
        <v>150</v>
      </c>
      <c r="AE52" s="87" t="s">
        <v>151</v>
      </c>
    </row>
    <row r="53" spans="1:31" ht="15.75" thickBot="1" x14ac:dyDescent="0.3">
      <c r="A53" s="3" t="s">
        <v>17</v>
      </c>
      <c r="B53" s="3">
        <v>14.1</v>
      </c>
      <c r="C53" s="3">
        <v>51.4</v>
      </c>
      <c r="E53" s="85" t="s">
        <v>145</v>
      </c>
      <c r="F53" s="85">
        <v>18.851534117277026</v>
      </c>
      <c r="G53" s="85">
        <v>4.0386432836633306</v>
      </c>
      <c r="H53" s="85">
        <v>4.6677888570979142</v>
      </c>
      <c r="I53" s="85">
        <v>8.0787872262504424E-5</v>
      </c>
      <c r="J53" s="85">
        <v>10.549983955529731</v>
      </c>
      <c r="K53" s="85">
        <v>27.15308427902432</v>
      </c>
      <c r="L53" s="85">
        <v>10.549983955529731</v>
      </c>
      <c r="M53" s="85">
        <v>27.15308427902432</v>
      </c>
      <c r="T53" s="6" t="s">
        <v>16</v>
      </c>
      <c r="U53" s="6">
        <v>43.8</v>
      </c>
      <c r="V53" s="6">
        <v>56.7</v>
      </c>
      <c r="W53" s="85" t="s">
        <v>145</v>
      </c>
      <c r="X53" s="85">
        <v>41.018866344527481</v>
      </c>
      <c r="Y53" s="85">
        <v>3.7290064844395476</v>
      </c>
      <c r="Z53" s="85">
        <v>10.999945029779809</v>
      </c>
      <c r="AA53" s="85">
        <v>2.8108884374483303E-11</v>
      </c>
      <c r="AB53" s="86">
        <v>-0.10638300175931385</v>
      </c>
      <c r="AC53" s="85">
        <v>48.683948950183137</v>
      </c>
      <c r="AD53" s="85">
        <v>33.353783738871826</v>
      </c>
      <c r="AE53" s="85">
        <v>48.683948950183137</v>
      </c>
    </row>
    <row r="54" spans="1:31" ht="15.75" thickBot="1" x14ac:dyDescent="0.3">
      <c r="A54" s="4" t="s">
        <v>18</v>
      </c>
      <c r="B54" s="4">
        <v>16.7</v>
      </c>
      <c r="C54" s="4">
        <v>43.8</v>
      </c>
      <c r="E54" s="86" t="s">
        <v>31</v>
      </c>
      <c r="F54" s="86">
        <v>-2.7197215265769317E-2</v>
      </c>
      <c r="G54" s="86">
        <v>8.9760563210921074E-2</v>
      </c>
      <c r="H54" s="86">
        <v>-0.30299737761070844</v>
      </c>
      <c r="I54" s="86">
        <v>0.76430296663770525</v>
      </c>
      <c r="J54" s="86">
        <v>-0.21170269537498204</v>
      </c>
      <c r="K54" s="86">
        <v>0.1573082648434434</v>
      </c>
      <c r="L54" s="86">
        <v>-0.21170269537498204</v>
      </c>
      <c r="M54" s="86">
        <v>0.1573082648434434</v>
      </c>
      <c r="T54" s="3" t="s">
        <v>17</v>
      </c>
      <c r="U54" s="3">
        <v>51.4</v>
      </c>
      <c r="V54" s="3">
        <v>13.9</v>
      </c>
      <c r="W54" s="86" t="s">
        <v>32</v>
      </c>
      <c r="X54" s="86">
        <v>9.035104406988366E-2</v>
      </c>
      <c r="Y54" s="86">
        <v>9.5709670769340907E-2</v>
      </c>
      <c r="Z54" s="86">
        <v>0.94401164839056373</v>
      </c>
      <c r="AA54" s="86">
        <v>0.35385408862910295</v>
      </c>
      <c r="AC54" s="86">
        <v>0.28708508989908116</v>
      </c>
      <c r="AD54" s="86">
        <v>-0.10638300175931385</v>
      </c>
      <c r="AE54" s="86">
        <v>0.28708508989908116</v>
      </c>
    </row>
    <row r="55" spans="1:31" x14ac:dyDescent="0.25">
      <c r="A55" s="4" t="s">
        <v>19</v>
      </c>
      <c r="B55" s="4">
        <v>18.5</v>
      </c>
      <c r="C55" s="4">
        <v>41.8</v>
      </c>
      <c r="T55" s="4" t="s">
        <v>18</v>
      </c>
      <c r="U55" s="4">
        <v>43.8</v>
      </c>
      <c r="V55" s="4">
        <v>21.3</v>
      </c>
    </row>
    <row r="56" spans="1:31" ht="12" customHeight="1" x14ac:dyDescent="0.25">
      <c r="A56" s="6" t="s">
        <v>20</v>
      </c>
      <c r="B56" s="6">
        <v>17.2</v>
      </c>
      <c r="C56" s="6">
        <v>43.9</v>
      </c>
      <c r="T56" s="4" t="s">
        <v>19</v>
      </c>
      <c r="U56" s="4">
        <v>41.8</v>
      </c>
      <c r="V56" s="4">
        <v>39.6</v>
      </c>
    </row>
    <row r="57" spans="1:31" ht="13.5" customHeight="1" x14ac:dyDescent="0.25">
      <c r="A57" s="4" t="s">
        <v>21</v>
      </c>
      <c r="B57" s="4">
        <v>10.5</v>
      </c>
      <c r="C57" s="4">
        <v>71.5</v>
      </c>
      <c r="T57" s="6" t="s">
        <v>20</v>
      </c>
      <c r="U57" s="6">
        <v>43.9</v>
      </c>
      <c r="V57" s="6">
        <v>47.2</v>
      </c>
    </row>
    <row r="58" spans="1:31" x14ac:dyDescent="0.25">
      <c r="A58" s="6" t="s">
        <v>22</v>
      </c>
      <c r="B58" s="6">
        <v>19.399999999999999</v>
      </c>
      <c r="C58" s="6">
        <v>46</v>
      </c>
      <c r="T58" s="4" t="s">
        <v>21</v>
      </c>
      <c r="U58" s="4">
        <v>71.5</v>
      </c>
      <c r="V58" s="4">
        <v>66.400000000000006</v>
      </c>
    </row>
    <row r="59" spans="1:31" x14ac:dyDescent="0.25">
      <c r="A59" s="4" t="s">
        <v>23</v>
      </c>
      <c r="B59" s="4">
        <v>19.3</v>
      </c>
      <c r="C59" s="4">
        <v>41.4</v>
      </c>
      <c r="T59" s="6" t="s">
        <v>22</v>
      </c>
      <c r="U59" s="6">
        <v>46</v>
      </c>
      <c r="V59" s="6">
        <v>22.6</v>
      </c>
    </row>
    <row r="60" spans="1:31" x14ac:dyDescent="0.25">
      <c r="A60" s="2" t="s">
        <v>24</v>
      </c>
      <c r="B60" s="2">
        <v>14.7</v>
      </c>
      <c r="C60" s="2">
        <v>48.2</v>
      </c>
      <c r="T60" s="4" t="s">
        <v>23</v>
      </c>
      <c r="U60" s="4">
        <v>41.4</v>
      </c>
      <c r="V60" s="4">
        <v>33.4</v>
      </c>
    </row>
    <row r="61" spans="1:31" x14ac:dyDescent="0.25">
      <c r="A61" s="3" t="s">
        <v>25</v>
      </c>
      <c r="B61" s="3">
        <v>21.7</v>
      </c>
      <c r="C61" s="3">
        <v>31.5</v>
      </c>
      <c r="T61" s="2" t="s">
        <v>24</v>
      </c>
      <c r="U61" s="2">
        <v>48.2</v>
      </c>
      <c r="V61" s="2">
        <v>18.3</v>
      </c>
    </row>
    <row r="62" spans="1:31" x14ac:dyDescent="0.25">
      <c r="A62" s="2" t="s">
        <v>26</v>
      </c>
      <c r="B62" s="2">
        <v>13.8</v>
      </c>
      <c r="C62" s="2">
        <v>37.6</v>
      </c>
      <c r="T62" s="3" t="s">
        <v>25</v>
      </c>
      <c r="U62" s="3">
        <v>31.5</v>
      </c>
      <c r="V62" s="3">
        <v>20.6</v>
      </c>
    </row>
    <row r="63" spans="1:31" x14ac:dyDescent="0.25">
      <c r="T63" s="2" t="s">
        <v>26</v>
      </c>
      <c r="U63" s="2">
        <v>37.6</v>
      </c>
      <c r="V63" s="2">
        <v>11.8</v>
      </c>
    </row>
  </sheetData>
  <sortState ref="K26:K53">
    <sortCondition ref="K26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zoomScale="71" workbookViewId="0">
      <selection activeCell="C1" sqref="C1:C30"/>
    </sheetView>
  </sheetViews>
  <sheetFormatPr defaultRowHeight="15" x14ac:dyDescent="0.25"/>
  <cols>
    <col min="12" max="12" width="17.85546875" customWidth="1"/>
  </cols>
  <sheetData>
    <row r="1" spans="1:20" ht="90" x14ac:dyDescent="0.25">
      <c r="A1" s="1" t="s">
        <v>29</v>
      </c>
      <c r="B1" s="1" t="s">
        <v>28</v>
      </c>
      <c r="C1" s="1" t="s">
        <v>32</v>
      </c>
      <c r="D1" s="1" t="s">
        <v>31</v>
      </c>
      <c r="E1" s="1" t="s">
        <v>160</v>
      </c>
      <c r="L1" t="s">
        <v>138</v>
      </c>
    </row>
    <row r="2" spans="1:20" ht="15.75" thickBot="1" x14ac:dyDescent="0.3">
      <c r="A2" s="2">
        <v>21.1</v>
      </c>
      <c r="B2" s="2">
        <v>16.7</v>
      </c>
      <c r="C2" s="2">
        <v>31.7</v>
      </c>
      <c r="D2" s="2">
        <v>49.3</v>
      </c>
      <c r="E2" s="2">
        <v>1</v>
      </c>
    </row>
    <row r="3" spans="1:20" x14ac:dyDescent="0.25">
      <c r="A3" s="2">
        <v>22.3</v>
      </c>
      <c r="B3" s="2">
        <v>19.8</v>
      </c>
      <c r="C3" s="2">
        <v>31.5</v>
      </c>
      <c r="D3" s="2">
        <v>53.3</v>
      </c>
      <c r="E3" s="2">
        <v>1</v>
      </c>
      <c r="L3" s="13" t="s">
        <v>139</v>
      </c>
      <c r="M3" s="13"/>
    </row>
    <row r="4" spans="1:20" x14ac:dyDescent="0.25">
      <c r="A4" s="2">
        <v>18.3</v>
      </c>
      <c r="B4" s="2">
        <v>14.2</v>
      </c>
      <c r="C4" s="2">
        <v>39.200000000000003</v>
      </c>
      <c r="D4" s="2">
        <v>45.4</v>
      </c>
      <c r="E4" s="2">
        <v>0</v>
      </c>
      <c r="L4" t="s">
        <v>140</v>
      </c>
      <c r="M4">
        <v>0.817890821060687</v>
      </c>
    </row>
    <row r="5" spans="1:20" x14ac:dyDescent="0.25">
      <c r="A5" s="6">
        <v>16.2</v>
      </c>
      <c r="B5" s="6">
        <v>18</v>
      </c>
      <c r="C5" s="6">
        <v>30.9</v>
      </c>
      <c r="D5" s="6">
        <v>36.4</v>
      </c>
      <c r="E5" s="2">
        <v>0</v>
      </c>
      <c r="L5" t="s">
        <v>141</v>
      </c>
      <c r="M5">
        <v>0.66894539517532481</v>
      </c>
    </row>
    <row r="6" spans="1:20" x14ac:dyDescent="0.25">
      <c r="A6" s="6">
        <v>22.6</v>
      </c>
      <c r="B6" s="6">
        <v>20.6</v>
      </c>
      <c r="C6" s="6">
        <v>42</v>
      </c>
      <c r="D6" s="6">
        <v>45.8</v>
      </c>
      <c r="E6" s="2">
        <v>1</v>
      </c>
      <c r="L6" t="s">
        <v>142</v>
      </c>
      <c r="M6">
        <v>0.61376962770454568</v>
      </c>
    </row>
    <row r="7" spans="1:20" x14ac:dyDescent="0.25">
      <c r="A7" s="6">
        <v>14.6</v>
      </c>
      <c r="B7" s="6">
        <v>20.100000000000001</v>
      </c>
      <c r="C7" s="6">
        <v>64</v>
      </c>
      <c r="D7" s="6">
        <v>42.5</v>
      </c>
      <c r="E7" s="2">
        <v>0</v>
      </c>
      <c r="L7" t="s">
        <v>40</v>
      </c>
      <c r="M7">
        <v>2.4315382763711657</v>
      </c>
    </row>
    <row r="8" spans="1:20" ht="15.75" thickBot="1" x14ac:dyDescent="0.3">
      <c r="A8" s="3">
        <v>15.9</v>
      </c>
      <c r="B8" s="3">
        <v>12.2</v>
      </c>
      <c r="C8" s="3">
        <v>32.700000000000003</v>
      </c>
      <c r="D8" s="3">
        <v>23.8</v>
      </c>
      <c r="E8" s="2">
        <v>0</v>
      </c>
      <c r="L8" s="12" t="s">
        <v>83</v>
      </c>
      <c r="M8" s="12">
        <v>29</v>
      </c>
    </row>
    <row r="9" spans="1:20" x14ac:dyDescent="0.25">
      <c r="A9" s="3">
        <v>18.5</v>
      </c>
      <c r="B9" s="3">
        <v>20.8</v>
      </c>
      <c r="C9" s="3">
        <v>13.1</v>
      </c>
      <c r="D9" s="3">
        <v>38.200000000000003</v>
      </c>
      <c r="E9" s="2">
        <v>0</v>
      </c>
    </row>
    <row r="10" spans="1:20" ht="15.75" thickBot="1" x14ac:dyDescent="0.3">
      <c r="A10" s="3">
        <v>15.4</v>
      </c>
      <c r="B10" s="3">
        <v>18.399999999999999</v>
      </c>
      <c r="C10" s="3">
        <v>33.4</v>
      </c>
      <c r="D10" s="3">
        <v>37.700000000000003</v>
      </c>
      <c r="E10" s="2">
        <v>0</v>
      </c>
      <c r="L10" t="s">
        <v>104</v>
      </c>
    </row>
    <row r="11" spans="1:20" x14ac:dyDescent="0.25">
      <c r="A11" s="3">
        <v>14.4</v>
      </c>
      <c r="B11" s="3">
        <v>19.100000000000001</v>
      </c>
      <c r="C11" s="3">
        <v>33.200000000000003</v>
      </c>
      <c r="D11" s="3">
        <v>34.799999999999997</v>
      </c>
      <c r="E11" s="2">
        <v>0</v>
      </c>
      <c r="L11" s="48"/>
      <c r="M11" s="48" t="s">
        <v>85</v>
      </c>
      <c r="N11" s="48" t="s">
        <v>108</v>
      </c>
      <c r="O11" s="48" t="s">
        <v>109</v>
      </c>
      <c r="P11" s="48" t="s">
        <v>110</v>
      </c>
      <c r="Q11" s="48" t="s">
        <v>146</v>
      </c>
    </row>
    <row r="12" spans="1:20" x14ac:dyDescent="0.25">
      <c r="A12" s="4">
        <v>13.2</v>
      </c>
      <c r="B12" s="4">
        <v>20.2</v>
      </c>
      <c r="C12" s="4">
        <v>56</v>
      </c>
      <c r="D12" s="4">
        <v>46.4</v>
      </c>
      <c r="E12" s="2">
        <v>0</v>
      </c>
      <c r="L12" t="s">
        <v>143</v>
      </c>
      <c r="M12">
        <v>4</v>
      </c>
      <c r="N12">
        <v>286.72429796335143</v>
      </c>
      <c r="O12">
        <v>71.681074490837858</v>
      </c>
      <c r="P12">
        <v>12.123898331447673</v>
      </c>
      <c r="Q12">
        <v>1.5644281615492429E-5</v>
      </c>
    </row>
    <row r="13" spans="1:20" x14ac:dyDescent="0.25">
      <c r="A13" s="4">
        <v>19.3</v>
      </c>
      <c r="B13" s="4">
        <v>18.2</v>
      </c>
      <c r="C13" s="4">
        <v>32.9</v>
      </c>
      <c r="D13" s="4">
        <v>51.1</v>
      </c>
      <c r="E13" s="2">
        <v>0</v>
      </c>
      <c r="L13" t="s">
        <v>144</v>
      </c>
      <c r="M13">
        <v>24</v>
      </c>
      <c r="N13">
        <v>141.89708134699345</v>
      </c>
      <c r="O13">
        <v>5.9123783894580599</v>
      </c>
    </row>
    <row r="14" spans="1:20" ht="15.75" thickBot="1" x14ac:dyDescent="0.3">
      <c r="A14" s="4">
        <v>23.9</v>
      </c>
      <c r="B14" s="4">
        <v>22</v>
      </c>
      <c r="C14" s="4">
        <v>26.8</v>
      </c>
      <c r="D14" s="4">
        <v>49.3</v>
      </c>
      <c r="E14" s="2">
        <v>1</v>
      </c>
      <c r="L14" s="12" t="s">
        <v>117</v>
      </c>
      <c r="M14" s="12">
        <v>28</v>
      </c>
      <c r="N14" s="12">
        <v>428.62137931034488</v>
      </c>
      <c r="O14" s="12"/>
      <c r="P14" s="12"/>
      <c r="Q14" s="12"/>
    </row>
    <row r="15" spans="1:20" x14ac:dyDescent="0.25">
      <c r="A15" s="4">
        <v>16.7</v>
      </c>
      <c r="B15" s="4">
        <v>21.2</v>
      </c>
      <c r="C15" s="4">
        <v>21.3</v>
      </c>
      <c r="D15" s="4">
        <v>43.8</v>
      </c>
      <c r="E15" s="2">
        <v>0</v>
      </c>
    </row>
    <row r="16" spans="1:20" x14ac:dyDescent="0.25">
      <c r="A16" s="2">
        <v>14.7</v>
      </c>
      <c r="B16" s="2">
        <v>4.9000000000000004</v>
      </c>
      <c r="C16" s="2">
        <v>18.3</v>
      </c>
      <c r="D16" s="2">
        <v>48.2</v>
      </c>
      <c r="E16" s="2">
        <v>0</v>
      </c>
      <c r="M16" t="s">
        <v>147</v>
      </c>
      <c r="N16" t="s">
        <v>40</v>
      </c>
      <c r="O16" t="s">
        <v>86</v>
      </c>
      <c r="P16" t="s">
        <v>111</v>
      </c>
      <c r="Q16" t="s">
        <v>148</v>
      </c>
      <c r="R16" t="s">
        <v>149</v>
      </c>
      <c r="S16" t="s">
        <v>162</v>
      </c>
      <c r="T16" t="s">
        <v>161</v>
      </c>
    </row>
    <row r="17" spans="1:20" x14ac:dyDescent="0.25">
      <c r="A17" s="2">
        <v>13.8</v>
      </c>
      <c r="B17" s="2">
        <v>3.5</v>
      </c>
      <c r="C17" s="2">
        <v>11.8</v>
      </c>
      <c r="D17" s="2">
        <v>37.6</v>
      </c>
      <c r="E17" s="2">
        <v>0</v>
      </c>
      <c r="L17" t="s">
        <v>145</v>
      </c>
      <c r="M17">
        <v>17.237488222505895</v>
      </c>
      <c r="N17">
        <v>2.6748869266754003</v>
      </c>
      <c r="O17">
        <v>6.444193229479894</v>
      </c>
      <c r="P17">
        <v>1.1550301734394329E-6</v>
      </c>
      <c r="Q17">
        <v>11.716792942022927</v>
      </c>
      <c r="R17">
        <v>22.758183502988864</v>
      </c>
      <c r="S17">
        <v>11.716792942022927</v>
      </c>
      <c r="T17">
        <v>22.758183502988864</v>
      </c>
    </row>
    <row r="18" spans="1:20" x14ac:dyDescent="0.25">
      <c r="A18" s="2">
        <v>15.9</v>
      </c>
      <c r="B18" s="2">
        <v>10.6</v>
      </c>
      <c r="C18" s="2">
        <v>11.8</v>
      </c>
      <c r="D18" s="2">
        <v>47.6</v>
      </c>
      <c r="E18" s="2">
        <v>0</v>
      </c>
      <c r="L18" t="s">
        <v>28</v>
      </c>
      <c r="M18">
        <v>0.1270550790769652</v>
      </c>
      <c r="N18">
        <v>9.4282546610982676E-2</v>
      </c>
      <c r="O18">
        <v>1.347599143680374</v>
      </c>
      <c r="P18">
        <v>0.19037216930485484</v>
      </c>
      <c r="Q18">
        <v>-6.7534533260069196E-2</v>
      </c>
      <c r="R18">
        <v>0.32164469141399959</v>
      </c>
      <c r="S18">
        <v>-6.7534533260069196E-2</v>
      </c>
      <c r="T18">
        <v>0.32164469141399959</v>
      </c>
    </row>
    <row r="19" spans="1:20" x14ac:dyDescent="0.25">
      <c r="A19" s="6">
        <v>28.1</v>
      </c>
      <c r="B19" s="6">
        <v>16.899999999999999</v>
      </c>
      <c r="C19" s="6">
        <v>56.7</v>
      </c>
      <c r="D19" s="6">
        <v>43.8</v>
      </c>
      <c r="E19" s="2">
        <v>1</v>
      </c>
      <c r="L19" t="s">
        <v>32</v>
      </c>
      <c r="M19">
        <v>-4.4676804739748957E-2</v>
      </c>
      <c r="N19">
        <v>3.0065029636018557E-2</v>
      </c>
      <c r="O19">
        <v>-1.4860056777135247</v>
      </c>
      <c r="P19">
        <v>0.15029672985244977</v>
      </c>
      <c r="Q19">
        <v>-0.10672797616083161</v>
      </c>
      <c r="R19">
        <v>1.73743666813337E-2</v>
      </c>
      <c r="S19">
        <v>-0.10672797616083161</v>
      </c>
      <c r="T19">
        <v>1.73743666813337E-2</v>
      </c>
    </row>
    <row r="20" spans="1:20" x14ac:dyDescent="0.25">
      <c r="A20" s="6">
        <v>17.2</v>
      </c>
      <c r="B20" s="6">
        <v>12.2</v>
      </c>
      <c r="C20" s="6">
        <v>47.2</v>
      </c>
      <c r="D20" s="6">
        <v>43.9</v>
      </c>
      <c r="E20" s="2">
        <v>0</v>
      </c>
      <c r="L20" t="s">
        <v>31</v>
      </c>
      <c r="M20">
        <v>-4.1766680815229537E-2</v>
      </c>
      <c r="N20">
        <v>5.4833691706049389E-2</v>
      </c>
      <c r="O20">
        <v>-0.76169740748317571</v>
      </c>
      <c r="P20">
        <v>0.45366111718254321</v>
      </c>
      <c r="Q20">
        <v>-0.15493785825609946</v>
      </c>
      <c r="R20">
        <v>7.1404496625640385E-2</v>
      </c>
      <c r="S20">
        <v>-0.15493785825609946</v>
      </c>
      <c r="T20">
        <v>7.1404496625640385E-2</v>
      </c>
    </row>
    <row r="21" spans="1:20" x14ac:dyDescent="0.25">
      <c r="A21" s="6">
        <v>19.399999999999999</v>
      </c>
      <c r="B21" s="6">
        <v>15.4</v>
      </c>
      <c r="C21" s="6">
        <v>22.6</v>
      </c>
      <c r="D21" s="6">
        <v>46</v>
      </c>
      <c r="E21" s="2">
        <v>0</v>
      </c>
      <c r="L21" t="s">
        <v>160</v>
      </c>
      <c r="M21">
        <v>7.1989933389809808</v>
      </c>
      <c r="N21">
        <v>1.0913133728727258</v>
      </c>
      <c r="O21">
        <v>6.5966325694613861</v>
      </c>
      <c r="P21">
        <v>8.0090009271759281E-7</v>
      </c>
      <c r="Q21">
        <v>4.9466332384235336</v>
      </c>
      <c r="R21">
        <v>9.451353439538428</v>
      </c>
      <c r="S21">
        <v>4.9466332384235336</v>
      </c>
      <c r="T21">
        <v>9.451353439538428</v>
      </c>
    </row>
    <row r="22" spans="1:20" x14ac:dyDescent="0.25">
      <c r="A22" s="3">
        <v>11.4</v>
      </c>
      <c r="B22" s="3">
        <v>16</v>
      </c>
      <c r="C22" s="3">
        <v>45.2</v>
      </c>
      <c r="D22" s="3">
        <v>37.4</v>
      </c>
      <c r="E22" s="2">
        <v>0</v>
      </c>
    </row>
    <row r="23" spans="1:20" x14ac:dyDescent="0.25">
      <c r="A23" s="3">
        <v>16.100000000000001</v>
      </c>
      <c r="B23" s="3">
        <v>9.1</v>
      </c>
      <c r="C23" s="3">
        <v>22.5</v>
      </c>
      <c r="D23" s="3">
        <v>54.3</v>
      </c>
      <c r="E23" s="2">
        <v>0</v>
      </c>
    </row>
    <row r="24" spans="1:20" x14ac:dyDescent="0.25">
      <c r="A24" s="3">
        <v>14.1</v>
      </c>
      <c r="B24" s="3">
        <v>13.3</v>
      </c>
      <c r="C24" s="3">
        <v>13.9</v>
      </c>
      <c r="D24" s="3">
        <v>51.4</v>
      </c>
      <c r="E24" s="2">
        <v>0</v>
      </c>
    </row>
    <row r="25" spans="1:20" x14ac:dyDescent="0.25">
      <c r="A25" s="3">
        <v>21.7</v>
      </c>
      <c r="B25" s="3">
        <v>4.7</v>
      </c>
      <c r="C25" s="3">
        <v>20.6</v>
      </c>
      <c r="D25" s="3">
        <v>31.5</v>
      </c>
      <c r="E25" s="2">
        <v>1</v>
      </c>
    </row>
    <row r="26" spans="1:20" x14ac:dyDescent="0.25">
      <c r="A26" s="4">
        <v>16.7</v>
      </c>
      <c r="B26" s="4">
        <v>21.2</v>
      </c>
      <c r="C26" s="4">
        <v>21.3</v>
      </c>
      <c r="D26" s="4">
        <v>43.8</v>
      </c>
      <c r="E26" s="2">
        <v>0</v>
      </c>
    </row>
    <row r="27" spans="1:20" x14ac:dyDescent="0.25">
      <c r="A27" s="4">
        <v>18.5</v>
      </c>
      <c r="B27" s="4">
        <v>13.2</v>
      </c>
      <c r="C27" s="4">
        <v>39.6</v>
      </c>
      <c r="D27" s="4">
        <v>41.8</v>
      </c>
      <c r="E27" s="2">
        <v>0</v>
      </c>
      <c r="G27" t="s">
        <v>159</v>
      </c>
    </row>
    <row r="28" spans="1:20" x14ac:dyDescent="0.25">
      <c r="A28" s="4">
        <v>10.5</v>
      </c>
      <c r="B28" s="4">
        <v>15.7</v>
      </c>
      <c r="C28" s="4">
        <v>66.400000000000006</v>
      </c>
      <c r="D28" s="4">
        <v>71.5</v>
      </c>
      <c r="E28" s="2">
        <v>0</v>
      </c>
    </row>
    <row r="29" spans="1:20" x14ac:dyDescent="0.25">
      <c r="A29" s="4">
        <v>19.3</v>
      </c>
      <c r="B29" s="4">
        <v>20.399999999999999</v>
      </c>
      <c r="C29" s="4">
        <v>33.4</v>
      </c>
      <c r="D29" s="4">
        <v>41.4</v>
      </c>
      <c r="E29" s="2">
        <v>0</v>
      </c>
      <c r="G29" t="s">
        <v>158</v>
      </c>
    </row>
    <row r="30" spans="1:20" x14ac:dyDescent="0.25">
      <c r="A30" s="7">
        <v>21.1</v>
      </c>
      <c r="B30" s="7">
        <v>24.3</v>
      </c>
      <c r="C30" s="7">
        <v>80.5</v>
      </c>
      <c r="D30" s="7">
        <v>42.8</v>
      </c>
      <c r="E30" s="2">
        <v>1</v>
      </c>
      <c r="G30" t="s">
        <v>157</v>
      </c>
    </row>
    <row r="31" spans="1:20" x14ac:dyDescent="0.25">
      <c r="G31" t="s">
        <v>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Stratified data</vt:lpstr>
      <vt:lpstr>1st sample</vt:lpstr>
      <vt:lpstr>2nd sample</vt:lpstr>
      <vt:lpstr>the results of the two-tail</vt:lpstr>
      <vt:lpstr>Hypothesis testing(two-tail)</vt:lpstr>
      <vt:lpstr>Hypothesis testing(one-tail)</vt:lpstr>
      <vt:lpstr>ANOVA</vt:lpstr>
      <vt:lpstr>Two- way ANOVA</vt:lpstr>
      <vt:lpstr>Simple linear regression</vt:lpstr>
      <vt:lpstr>Multiple Regression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msnikolova1974@gmail.com</dc:creator>
  <cp:lastModifiedBy>msnikolova1974@gmail.com</cp:lastModifiedBy>
  <dcterms:created xsi:type="dcterms:W3CDTF">2024-05-10T17:55:53Z</dcterms:created>
  <dcterms:modified xsi:type="dcterms:W3CDTF">2024-06-01T15:46:38Z</dcterms:modified>
</cp:coreProperties>
</file>